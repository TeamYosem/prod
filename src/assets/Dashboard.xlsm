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elmello\Documents\prod\src\assets\"/>
    </mc:Choice>
  </mc:AlternateContent>
  <xr:revisionPtr revIDLastSave="0" documentId="13_ncr:1_{04E7C00F-5DCC-41D3-9FEF-F1577AAFF2D9}" xr6:coauthVersionLast="47" xr6:coauthVersionMax="47" xr10:uidLastSave="{00000000-0000-0000-0000-000000000000}"/>
  <bookViews>
    <workbookView xWindow="-120" yWindow="-120" windowWidth="29040" windowHeight="15990" tabRatio="758" xr2:uid="{CD371185-7F63-411D-9DFD-6D23532F913F}"/>
  </bookViews>
  <sheets>
    <sheet name="Historical" sheetId="20" r:id="rId1"/>
    <sheet name="Current" sheetId="21" r:id="rId2"/>
    <sheet name="Case Volume - Yosemite" sheetId="22" r:id="rId3"/>
    <sheet name="1 - Inbound Calls Last 7 - Yose" sheetId="23" r:id="rId4"/>
    <sheet name="2 - Avg Response Times - Yosem" sheetId="24" r:id="rId5"/>
    <sheet name="3 - Response &gt; 1 hr - Yosem" sheetId="25" r:id="rId6"/>
    <sheet name="4 - Time Logged - Yosem" sheetId="26" r:id="rId7"/>
  </sheets>
  <definedNames>
    <definedName name="ExternalData_1" localSheetId="3" hidden="1">'1 - Inbound Calls Last 7 - Yose'!$A$1:$F$89</definedName>
    <definedName name="ExternalData_1" localSheetId="4" hidden="1">'2 - Avg Response Times - Yosem'!$A$1:$O$90</definedName>
    <definedName name="ExternalData_1" localSheetId="5" hidden="1">'3 - Response &gt; 1 hr - Yosem'!$A$1:$P$24</definedName>
    <definedName name="ExternalData_1" localSheetId="6" hidden="1">'4 - Time Logged - Yosem'!$A$1:$K$160</definedName>
    <definedName name="ExternalData_1" localSheetId="2" hidden="1">'Case Volume - Yosemite'!$A$1:$D$163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3" l="1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J1" i="22"/>
  <c r="C29" i="20" s="1"/>
  <c r="B46" i="20"/>
  <c r="A46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S1" i="25"/>
  <c r="G29" i="20" s="1"/>
  <c r="S2" i="25"/>
  <c r="F29" i="20" s="1"/>
  <c r="F39" i="20" s="1"/>
  <c r="N3" i="26"/>
  <c r="H29" i="20" s="1"/>
  <c r="H43" i="20" s="1"/>
  <c r="N1" i="26"/>
  <c r="R1" i="24"/>
  <c r="E29" i="20" s="1"/>
  <c r="E43" i="20" s="1"/>
  <c r="I1" i="23"/>
  <c r="D29" i="20" s="1"/>
  <c r="A23" i="20"/>
  <c r="A2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H44" i="20" l="1"/>
  <c r="F43" i="20"/>
  <c r="F44" i="20" s="1"/>
  <c r="E44" i="20"/>
  <c r="I3" i="23"/>
  <c r="E46" i="20"/>
  <c r="D46" i="20"/>
  <c r="C46" i="20"/>
  <c r="H46" i="20"/>
  <c r="F46" i="20"/>
  <c r="G46" i="20"/>
  <c r="A2" i="21"/>
  <c r="K6" i="21" s="1"/>
  <c r="A6" i="21"/>
  <c r="A3" i="21"/>
  <c r="A4" i="21"/>
  <c r="A5" i="21"/>
  <c r="C5" i="21" l="1"/>
  <c r="M3" i="21" s="1"/>
  <c r="K3" i="21"/>
  <c r="D4" i="21"/>
  <c r="N4" i="21" s="1"/>
  <c r="K4" i="21"/>
  <c r="H3" i="21"/>
  <c r="R5" i="21" s="1"/>
  <c r="K5" i="21"/>
  <c r="C6" i="21"/>
  <c r="M2" i="21" s="1"/>
  <c r="K2" i="21"/>
  <c r="F2" i="21"/>
  <c r="P6" i="21" s="1"/>
  <c r="H4" i="21"/>
  <c r="R4" i="21" s="1"/>
  <c r="E6" i="21"/>
  <c r="O2" i="21" s="1"/>
  <c r="D6" i="21"/>
  <c r="N2" i="21" s="1"/>
  <c r="H2" i="21"/>
  <c r="R6" i="21" s="1"/>
  <c r="F6" i="21"/>
  <c r="P2" i="21" s="1"/>
  <c r="D2" i="21"/>
  <c r="N6" i="21" s="1"/>
  <c r="E2" i="21"/>
  <c r="O6" i="21" s="1"/>
  <c r="G6" i="21"/>
  <c r="Q2" i="21" s="1"/>
  <c r="C2" i="21"/>
  <c r="M6" i="21" s="1"/>
  <c r="G2" i="21"/>
  <c r="Q6" i="21" s="1"/>
  <c r="B2" i="21"/>
  <c r="L6" i="21" s="1"/>
  <c r="H6" i="21"/>
  <c r="R2" i="21" s="1"/>
  <c r="E4" i="21"/>
  <c r="O4" i="21" s="1"/>
  <c r="B6" i="21"/>
  <c r="L2" i="21" s="1"/>
  <c r="E3" i="21"/>
  <c r="O5" i="21" s="1"/>
  <c r="C3" i="21"/>
  <c r="M5" i="21" s="1"/>
  <c r="C4" i="21"/>
  <c r="M4" i="21" s="1"/>
  <c r="B4" i="21"/>
  <c r="L4" i="21" s="1"/>
  <c r="B3" i="21"/>
  <c r="L5" i="21" s="1"/>
  <c r="D3" i="21"/>
  <c r="N5" i="21" s="1"/>
  <c r="D5" i="21"/>
  <c r="N3" i="21" s="1"/>
  <c r="F5" i="21"/>
  <c r="P3" i="21" s="1"/>
  <c r="H5" i="21"/>
  <c r="R3" i="21" s="1"/>
  <c r="G3" i="21"/>
  <c r="Q5" i="21" s="1"/>
  <c r="G4" i="21"/>
  <c r="Q4" i="21" s="1"/>
  <c r="F3" i="21"/>
  <c r="P5" i="21" s="1"/>
  <c r="E5" i="21"/>
  <c r="O3" i="21" s="1"/>
  <c r="B5" i="21"/>
  <c r="L3" i="21" s="1"/>
  <c r="G5" i="21"/>
  <c r="Q3" i="21" s="1"/>
  <c r="F4" i="21"/>
  <c r="P4" i="2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6AAB4A-4DD3-486A-88AE-F0956A62583C}" keepAlive="1" name="Query - 1 - Inbound Calls Last 7 - Yosem" description="Connection to the '1 - Inbound Calls Last 7 - Yosem' query in the workbook." type="5" refreshedVersion="8" background="1" refreshOnLoad="1" saveData="1">
    <dbPr connection="Provider=Microsoft.Mashup.OleDb.1;Data Source=$Workbook$;Location=&quot;1 - Inbound Calls Last 7 - Yosem&quot;;Extended Properties=&quot;&quot;" command="SELECT * FROM [1 - Inbound Calls Last 7 - Yosem]"/>
  </connection>
  <connection id="2" xr16:uid="{2783AD51-5598-4ADD-AAD3-F9823FFD88B5}" keepAlive="1" name="Query - 2 - Avg Response Times - Yosem" description="Connection to the '2 - Avg Response Times - Yosem' query in the workbook." type="5" refreshedVersion="8" background="1" refreshOnLoad="1" saveData="1">
    <dbPr connection="Provider=Microsoft.Mashup.OleDb.1;Data Source=$Workbook$;Location=&quot;2 - Avg Response Times - Yosem&quot;;Extended Properties=&quot;&quot;" command="SELECT * FROM [2 - Avg Response Times - Yosem]"/>
  </connection>
  <connection id="3" xr16:uid="{131C1894-009E-4467-868F-01E5F9E889BF}" keepAlive="1" name="Query - 3 - Response &gt; 1 hr - Yosem" description="Connection to the '3 - Response &gt; 1 hr - Yosem' query in the workbook." type="5" refreshedVersion="8" background="1" refreshOnLoad="1" saveData="1">
    <dbPr connection="Provider=Microsoft.Mashup.OleDb.1;Data Source=$Workbook$;Location=&quot;3 - Response &gt; 1 hr - Yosem&quot;;Extended Properties=&quot;&quot;" command="SELECT * FROM [3 - Response &gt; 1 hr - Yosem]"/>
  </connection>
  <connection id="4" xr16:uid="{FD8322CF-7A33-4E1F-8BCA-E36EF4D50AC5}" keepAlive="1" name="Query - 4 - Time Logged - Yosem" description="Connection to the '4 - Time Logged - Yosem' query in the workbook." type="5" refreshedVersion="8" background="1" refreshOnLoad="1" saveData="1">
    <dbPr connection="Provider=Microsoft.Mashup.OleDb.1;Data Source=$Workbook$;Location=&quot;4 - Time Logged - Yosem&quot;;Extended Properties=&quot;&quot;" command="SELECT * FROM [4 - Time Logged - Yosem]"/>
  </connection>
  <connection id="5" xr16:uid="{DD16A5E1-782B-466D-AAA9-54FF9079B97F}" keepAlive="1" name="Query - Case Volume - Yosemite" description="Connection to the 'Case Volume - Yosemite' query in the workbook." type="5" refreshedVersion="8" background="1" refreshOnLoad="1" saveData="1">
    <dbPr connection="Provider=Microsoft.Mashup.OleDb.1;Data Source=$Workbook$;Location=&quot;Case Volume - Yosemite&quot;;Extended Properties=&quot;&quot;" command="SELECT * FROM [Case Volume - Yosemite]"/>
  </connection>
  <connection id="6" xr16:uid="{6B577CBE-6320-4140-AE8C-B406434400AF}" keepAlive="1" name="Query - Harding Yosem" description="Connection to the 'Harding Yosem' query in the workbook." type="5" refreshedVersion="7" background="1" saveData="1">
    <dbPr connection="Provider=Microsoft.Mashup.OleDb.1;Data Source=$Workbook$;Location=&quot;Harding Yosem&quot;;Extended Properties=&quot;&quot;" command="SELECT * FROM [Harding Yosem]"/>
  </connection>
</connections>
</file>

<file path=xl/sharedStrings.xml><?xml version="1.0" encoding="utf-8"?>
<sst xmlns="http://schemas.openxmlformats.org/spreadsheetml/2006/main" count="3836" uniqueCount="840">
  <si>
    <t>Total Cases</t>
  </si>
  <si>
    <t>Total Calls</t>
  </si>
  <si>
    <t>Bee Murphy</t>
  </si>
  <si>
    <t>Yassine Elmellouki</t>
  </si>
  <si>
    <t>Anthony Pierre-Louis</t>
  </si>
  <si>
    <t>Katie Fandozzi</t>
  </si>
  <si>
    <t>Kathryn Pedi</t>
  </si>
  <si>
    <t>Date</t>
  </si>
  <si>
    <t>Account Name</t>
  </si>
  <si>
    <t>Case Record Type</t>
  </si>
  <si>
    <t>Case Number</t>
  </si>
  <si>
    <t>Date/Time Opened</t>
  </si>
  <si>
    <t>Subject</t>
  </si>
  <si>
    <t>OMS Team</t>
  </si>
  <si>
    <t>Case Owner</t>
  </si>
  <si>
    <t>Case Subtype</t>
  </si>
  <si>
    <t>Index</t>
  </si>
  <si>
    <t>Inbound Calls</t>
  </si>
  <si>
    <t>RT</t>
  </si>
  <si>
    <t>Vol of RT+1</t>
  </si>
  <si>
    <t>RT +1</t>
  </si>
  <si>
    <t>TL</t>
  </si>
  <si>
    <t>Current Owner's Team</t>
  </si>
  <si>
    <t>Client Solutions – Yosemite</t>
  </si>
  <si>
    <t>Ferguson Wellman Capital Management Inc</t>
  </si>
  <si>
    <t>Weiss Multi-Strategy Advisers LLC</t>
  </si>
  <si>
    <t>IndexIQ Advisors LLC</t>
  </si>
  <si>
    <t>Viking Global Investors LP</t>
  </si>
  <si>
    <t>Champlain Investment Partners, LLC</t>
  </si>
  <si>
    <t>Nicholas Ceraso</t>
  </si>
  <si>
    <t>Product Solutions - Operations</t>
  </si>
  <si>
    <t>Product Solutions - Trading</t>
  </si>
  <si>
    <t>Product Solutions - ARMD</t>
  </si>
  <si>
    <t>Created By: Full Name</t>
  </si>
  <si>
    <t>Created Date</t>
  </si>
  <si>
    <t>Name: Name</t>
  </si>
  <si>
    <t>Related To: Name</t>
  </si>
  <si>
    <t>-</t>
  </si>
  <si>
    <t>Transferred By</t>
  </si>
  <si>
    <t>Status</t>
  </si>
  <si>
    <t>Overall Revenue Rank</t>
  </si>
  <si>
    <t>Urgency</t>
  </si>
  <si>
    <t>Impact</t>
  </si>
  <si>
    <t>Initial Response in Minutes</t>
  </si>
  <si>
    <t>Date Initially Responded</t>
  </si>
  <si>
    <t>Date Initially Assigned</t>
  </si>
  <si>
    <t>Yosemite</t>
  </si>
  <si>
    <t>Closed</t>
  </si>
  <si>
    <t>Medium</t>
  </si>
  <si>
    <t>In Progress</t>
  </si>
  <si>
    <t>Other</t>
  </si>
  <si>
    <t>Tradewinds</t>
  </si>
  <si>
    <t>Reporting</t>
  </si>
  <si>
    <t>Avg RT</t>
  </si>
  <si>
    <t>Contact Name</t>
  </si>
  <si>
    <t>Case Type</t>
  </si>
  <si>
    <t>Service Request</t>
  </si>
  <si>
    <t>Operations - OMS</t>
  </si>
  <si>
    <t>Incident</t>
  </si>
  <si>
    <t>General</t>
  </si>
  <si>
    <t>Order Mgmt - OMS</t>
  </si>
  <si>
    <t>Framework - OMS</t>
  </si>
  <si>
    <t>Total</t>
  </si>
  <si>
    <t>AVG</t>
  </si>
  <si>
    <t>Timecard: Owner Name</t>
  </si>
  <si>
    <t>Work Type</t>
  </si>
  <si>
    <t>Total Time</t>
  </si>
  <si>
    <t>Owner's Team</t>
  </si>
  <si>
    <t>Case: Case Record Type</t>
  </si>
  <si>
    <t>Case: Case Type</t>
  </si>
  <si>
    <t>Case: Client Service Priority</t>
  </si>
  <si>
    <t>Case: Total Case Time</t>
  </si>
  <si>
    <t>Case: Urgency</t>
  </si>
  <si>
    <t>Case: Impact</t>
  </si>
  <si>
    <t>Case: Opened Date</t>
  </si>
  <si>
    <t>Primary</t>
  </si>
  <si>
    <t>3</t>
  </si>
  <si>
    <t>4</t>
  </si>
  <si>
    <t>Low</t>
  </si>
  <si>
    <t>0</t>
  </si>
  <si>
    <t>Compliance - OMS</t>
  </si>
  <si>
    <t>High</t>
  </si>
  <si>
    <t>2</t>
  </si>
  <si>
    <t>Modeling, Analytics and Risk</t>
  </si>
  <si>
    <t>Total TL</t>
  </si>
  <si>
    <t>Clough Capital Partners, LP.</t>
  </si>
  <si>
    <t>Graticule Asset Management Asia Pte Ltd</t>
  </si>
  <si>
    <t>Arosa Capital Management LP</t>
  </si>
  <si>
    <t>Cardinal Capital Management, L.L.C.</t>
  </si>
  <si>
    <t>Vol of RT +1</t>
  </si>
  <si>
    <t>Tekla Capital Management LLC</t>
  </si>
  <si>
    <t>Summit Partners Public Asset Management, LLC</t>
  </si>
  <si>
    <t>Pier 88 Investment Partners, LLC</t>
  </si>
  <si>
    <t>Long Pond Capital, LP</t>
  </si>
  <si>
    <t>Becker Capital Management, Inc.</t>
  </si>
  <si>
    <t>Tybourne Capital Management (HK) Ltd.</t>
  </si>
  <si>
    <t>Leonardo Sapalicio</t>
  </si>
  <si>
    <t>Meritage Group LP</t>
  </si>
  <si>
    <t>SurgoCap Partners LP</t>
  </si>
  <si>
    <t>LMCG Investments, LLC</t>
  </si>
  <si>
    <t>Sculptor Capital LP</t>
  </si>
  <si>
    <t>Granahan Investment Management, Inc.</t>
  </si>
  <si>
    <t>Deerfield Management Company L.P.</t>
  </si>
  <si>
    <t>Infrastructure</t>
  </si>
  <si>
    <t>Hugh Demers</t>
  </si>
  <si>
    <t>RSA Generic Contact Line</t>
  </si>
  <si>
    <t>04438026</t>
  </si>
  <si>
    <t>Dalton Investments LLC</t>
  </si>
  <si>
    <t>Frontier Capital Management LLC</t>
  </si>
  <si>
    <t>ROW Asset Management LLC</t>
  </si>
  <si>
    <t>Energy Income Partners LLC</t>
  </si>
  <si>
    <t>D1 Capital Partners L.P.</t>
  </si>
  <si>
    <t>Centurion Investment Group, LP</t>
  </si>
  <si>
    <t>HighTower Holding, LLC</t>
  </si>
  <si>
    <t>Long Pond Group Line</t>
  </si>
  <si>
    <t>Ken Hendrawan</t>
  </si>
  <si>
    <t>Kelly Becker</t>
  </si>
  <si>
    <t>Sixth Street Partners, LLC</t>
  </si>
  <si>
    <t>Champlain | Archive/Rollover Alert - URGENT - ACTION REQUIRED</t>
  </si>
  <si>
    <t>John Sorgi</t>
  </si>
  <si>
    <t>Cormorant Asset Management LLC</t>
  </si>
  <si>
    <t>Zack Snow</t>
  </si>
  <si>
    <t>Systematic Financial Management LP</t>
  </si>
  <si>
    <t>RA Capital Management, L.P.</t>
  </si>
  <si>
    <t>Zachary Devoid</t>
  </si>
  <si>
    <t>Colleen Jones</t>
  </si>
  <si>
    <t>Indus Capital Partners, LLC</t>
  </si>
  <si>
    <t>Whale Rock Capital Management, LLC</t>
  </si>
  <si>
    <t>Vulcan Value Partners, LLC</t>
  </si>
  <si>
    <t>Seelaus Asset Management LLC</t>
  </si>
  <si>
    <t>Great Point Partners, LLC</t>
  </si>
  <si>
    <t>Dorian Miron</t>
  </si>
  <si>
    <t>Jin Yu Zhou</t>
  </si>
  <si>
    <t>Erin Chetwood</t>
  </si>
  <si>
    <t>Frank Conte</t>
  </si>
  <si>
    <t>Jim Klinger</t>
  </si>
  <si>
    <t>Jeff Pasquini</t>
  </si>
  <si>
    <t>Server - Client Configuration</t>
  </si>
  <si>
    <t>04455836</t>
  </si>
  <si>
    <t>Blaine Dickason</t>
  </si>
  <si>
    <t>Shadowing</t>
  </si>
  <si>
    <t>Tom Diaz</t>
  </si>
  <si>
    <t>Mark Haas</t>
  </si>
  <si>
    <t>Call 02/27/2023 08:12am CST</t>
  </si>
  <si>
    <t>Call 02/27/2023 08:15am CST</t>
  </si>
  <si>
    <t>Michael Serra</t>
  </si>
  <si>
    <t>Dan Arce-Yee</t>
  </si>
  <si>
    <t>Call 02/27/2023 07:35am CST</t>
  </si>
  <si>
    <t>Gregg Voetsch</t>
  </si>
  <si>
    <t>Crossingbridge Advisors, LLC</t>
  </si>
  <si>
    <t>Jenn Neal</t>
  </si>
  <si>
    <t>Call 02/27/2023 07:06am CST</t>
  </si>
  <si>
    <t>04458778</t>
  </si>
  <si>
    <t>Omar Harris</t>
  </si>
  <si>
    <t>Call 02/27/2023 07:33am CST</t>
  </si>
  <si>
    <t>Durable Capital Partners LP</t>
  </si>
  <si>
    <t>Mikias Tesfa</t>
  </si>
  <si>
    <t>Call 02/27/2023 08:58am CST</t>
  </si>
  <si>
    <t>04459974</t>
  </si>
  <si>
    <t>Wade Clouse</t>
  </si>
  <si>
    <t>Call 02/27/2023 11:01am CST</t>
  </si>
  <si>
    <t>Miguel Castillo</t>
  </si>
  <si>
    <t>Sea Otter Holdings</t>
  </si>
  <si>
    <t>Wilshire Advisors LLC</t>
  </si>
  <si>
    <t>2/27/2023 8:56 AM</t>
  </si>
  <si>
    <t>2/27/2023 10:58 AM</t>
  </si>
  <si>
    <t>2/27/2023 11:29 AM</t>
  </si>
  <si>
    <t>2/27/2023 7:11 AM</t>
  </si>
  <si>
    <t>2/27/2023 8:22 AM</t>
  </si>
  <si>
    <t>2/27/2023 8:30 AM</t>
  </si>
  <si>
    <t>2/27/2023 8:41 AM</t>
  </si>
  <si>
    <t>2/27/2023 10:19 AM</t>
  </si>
  <si>
    <t>2/27/2023 12:15 PM</t>
  </si>
  <si>
    <t>Smith Capital Investors LLC</t>
  </si>
  <si>
    <t>Vista Equity Partners Management, LLC</t>
  </si>
  <si>
    <t>2/27/2023 8:33 AM</t>
  </si>
  <si>
    <t>2/27/2023 8:50 AM</t>
  </si>
  <si>
    <t>2/27/2023 10:13 AM</t>
  </si>
  <si>
    <t>2/27/2023 10:22 AM</t>
  </si>
  <si>
    <t>2/27/2023 4:42 AM</t>
  </si>
  <si>
    <t>2/27/2023 7:38 AM</t>
  </si>
  <si>
    <t>2/27/2023 7:52 AM</t>
  </si>
  <si>
    <t>2/27/2023 8:02 AM</t>
  </si>
  <si>
    <t>2/27/2023 8:17 AM</t>
  </si>
  <si>
    <t>2/27/2023 11:02 AM</t>
  </si>
  <si>
    <t>2/27/2023 8:46 AM</t>
  </si>
  <si>
    <t>2/27/2023 11:26 AM</t>
  </si>
  <si>
    <t>Change Request</t>
  </si>
  <si>
    <t>Monitoring</t>
  </si>
  <si>
    <t>04460041</t>
  </si>
  <si>
    <t>FSK vs FSIC</t>
  </si>
  <si>
    <t>2/27/2023 11:20 AM</t>
  </si>
  <si>
    <t>2/27/2023 8:23 AM</t>
  </si>
  <si>
    <t>04459989</t>
  </si>
  <si>
    <t>John Reha</t>
  </si>
  <si>
    <t>RE: [CONFIDENTIAL] LMCG - Down FIX Line</t>
  </si>
  <si>
    <t>2/27/2023 10:16 AM</t>
  </si>
  <si>
    <t>2/27/2023 10:14 AM</t>
  </si>
  <si>
    <t>04460106</t>
  </si>
  <si>
    <t>Jonathan Barkoe</t>
  </si>
  <si>
    <t>FW: SS&amp;C Eze - Upcoming Bomgar Update **Reminder - Please Review**</t>
  </si>
  <si>
    <t>2/27/2023 10:48 AM</t>
  </si>
  <si>
    <t>2/27/2023 10:36 AM</t>
  </si>
  <si>
    <t>04460337</t>
  </si>
  <si>
    <t>Elise O'Connell</t>
  </si>
  <si>
    <t>RE: Eze - Virtu is missing the fies from Friday 2/24/23</t>
  </si>
  <si>
    <t>2/27/2023 12:49 PM</t>
  </si>
  <si>
    <t>2/27/2023 12:47 PM</t>
  </si>
  <si>
    <t>04460089</t>
  </si>
  <si>
    <t>Robert Manganelli</t>
  </si>
  <si>
    <t>RE: Compliance Report Emails</t>
  </si>
  <si>
    <t>04460007</t>
  </si>
  <si>
    <t>FW: Vista Reconciliation - AUM Recon</t>
  </si>
  <si>
    <t>2/27/2023 8:36 AM</t>
  </si>
  <si>
    <t>04460378</t>
  </si>
  <si>
    <t>How do I update the new SEC fee?</t>
  </si>
  <si>
    <t>2/27/2023 12:10 PM</t>
  </si>
  <si>
    <t>2/27/2023 12:13 PM</t>
  </si>
  <si>
    <t>04460348</t>
  </si>
  <si>
    <t>UI Problem</t>
  </si>
  <si>
    <t>2/27/2023 11:28 AM</t>
  </si>
  <si>
    <t>2/27/2023 11:27 AM</t>
  </si>
  <si>
    <t>04460066</t>
  </si>
  <si>
    <t>FW: [Action Required] Weiss | Locate Inventory File Check</t>
  </si>
  <si>
    <t>2/27/2023 8:58 AM</t>
  </si>
  <si>
    <t>2/27/2023 8:45 AM</t>
  </si>
  <si>
    <t>Holdings</t>
  </si>
  <si>
    <t>2/27/2023 7:35 AM</t>
  </si>
  <si>
    <t>2/27/2023 7:28 AM</t>
  </si>
  <si>
    <t>04460292</t>
  </si>
  <si>
    <t>2/24 Enfusion pos files</t>
  </si>
  <si>
    <t>2/27/2023 10:43 AM</t>
  </si>
  <si>
    <t>2/27/2023 10:27 AM</t>
  </si>
  <si>
    <t>04460060</t>
  </si>
  <si>
    <t>Frontier - Eze Compliance - Post Trade Check</t>
  </si>
  <si>
    <t>2/27/2023 8:44 AM</t>
  </si>
  <si>
    <t>2/27/2023 8:43 AM</t>
  </si>
  <si>
    <t>04459837</t>
  </si>
  <si>
    <t>[AMER TO ACTION] BIDS Connectivity Alert: LEEMUNDER1-FIX and TDI Sessions down</t>
  </si>
  <si>
    <t>2/27/2023 4:53 AM</t>
  </si>
  <si>
    <t>2/27/2023 4:55 AM</t>
  </si>
  <si>
    <t>04460016</t>
  </si>
  <si>
    <t>Eze AM Files Not Loaded</t>
  </si>
  <si>
    <t>2/27/2023 8:09 AM</t>
  </si>
  <si>
    <t>2/27/2023 8:11 AM</t>
  </si>
  <si>
    <t>04460382</t>
  </si>
  <si>
    <t>Running Man Failure - Fidelity MF File</t>
  </si>
  <si>
    <t>2/27/2023 11:34 AM</t>
  </si>
  <si>
    <t>2/27/2023 11:32 AM</t>
  </si>
  <si>
    <t>Blotter - Trade Cache</t>
  </si>
  <si>
    <t>Call Duration</t>
  </si>
  <si>
    <t>Call 02/27/2023 02:21pm CST</t>
  </si>
  <si>
    <t>Regina Grebb</t>
  </si>
  <si>
    <t>Call 02/27/2023 03:20pm CST</t>
  </si>
  <si>
    <t>04460755</t>
  </si>
  <si>
    <t>Call 02/27/2023 03:41pm CST</t>
  </si>
  <si>
    <t>Call 02/28/2023 08:54am CST</t>
  </si>
  <si>
    <t>Call 02/28/2023 09:15am CST</t>
  </si>
  <si>
    <t>Call 02/28/2023 11:05am CST</t>
  </si>
  <si>
    <t>Max Herman</t>
  </si>
  <si>
    <t>Call 02/28/2023 03:08pm CST</t>
  </si>
  <si>
    <t>Derek Derman</t>
  </si>
  <si>
    <t>Call 02/28/2023 03:41pm CST</t>
  </si>
  <si>
    <t>Call 02/28/2023 03:42pm CST</t>
  </si>
  <si>
    <t>Call 02/27/2023 01:17pm CST</t>
  </si>
  <si>
    <t>04460606</t>
  </si>
  <si>
    <t>Call 02/27/2023 03:33pm CST</t>
  </si>
  <si>
    <t>04460690</t>
  </si>
  <si>
    <t>Peter Whiteford</t>
  </si>
  <si>
    <t>Call 02/27/2023 03:48pm CST</t>
  </si>
  <si>
    <t>Prod DB (TW)</t>
  </si>
  <si>
    <t>Greg Barrato</t>
  </si>
  <si>
    <t>Call 02/27/2023 03:57pm CST</t>
  </si>
  <si>
    <t>04460818</t>
  </si>
  <si>
    <t>Jessica Minio</t>
  </si>
  <si>
    <t>Call 02/27/2023 04:15pm CST</t>
  </si>
  <si>
    <t>04460741</t>
  </si>
  <si>
    <t>Call 02/27/2023 04:59pm CST</t>
  </si>
  <si>
    <t>Call 02/28/2023 11:45am CST</t>
  </si>
  <si>
    <t>Call 02/28/2023 12:46pm CST</t>
  </si>
  <si>
    <t>04462421</t>
  </si>
  <si>
    <t>Mate Rumora</t>
  </si>
  <si>
    <t>Call 02/28/2023 03:09pm CST</t>
  </si>
  <si>
    <t>04462636</t>
  </si>
  <si>
    <t>Call 02/28/2023 03:37pm CST</t>
  </si>
  <si>
    <t>Call 02/28/2023 03:45pm CST</t>
  </si>
  <si>
    <t>Call 02/28/2023 04:37pm CST</t>
  </si>
  <si>
    <t>Call 02/27/2023 01:51pm CST</t>
  </si>
  <si>
    <t>Jarrod Pelletier</t>
  </si>
  <si>
    <t>Call 02/28/2023 08:25am CST</t>
  </si>
  <si>
    <t>Michael Richardson</t>
  </si>
  <si>
    <t>Call 02/28/2023 08:36am CST</t>
  </si>
  <si>
    <t>Call 02/28/2023 09:08am CST</t>
  </si>
  <si>
    <t>Sung Yim</t>
  </si>
  <si>
    <t>Ajay Mudambi</t>
  </si>
  <si>
    <t>Call 02/27/2023 04:40pm CST</t>
  </si>
  <si>
    <t>Call 02/27/2023 04:58pm CST</t>
  </si>
  <si>
    <t>Call 02/28/2023 04:26pm CST</t>
  </si>
  <si>
    <t>Call D in Secs</t>
  </si>
  <si>
    <t>Avg Call time</t>
  </si>
  <si>
    <t>Call 03/01/2023 08:32am CST</t>
  </si>
  <si>
    <t>04462618</t>
  </si>
  <si>
    <t>Jade Thomason</t>
  </si>
  <si>
    <t>Call 03/01/2023 01:31pm CST</t>
  </si>
  <si>
    <t>Call 03/01/2023 01:34pm CST</t>
  </si>
  <si>
    <t>Trading Desk - Send DKs and Lates here</t>
  </si>
  <si>
    <t>Call 03/01/2023 03:52pm CST</t>
  </si>
  <si>
    <t>Call 03/02/2023 10:19am CST</t>
  </si>
  <si>
    <t>Elizabeth Anth</t>
  </si>
  <si>
    <t>Call 03/02/2023 10:53am CST</t>
  </si>
  <si>
    <t>James Niglio</t>
  </si>
  <si>
    <t>Call 03/02/2023 12:46pm CST</t>
  </si>
  <si>
    <t>Call 03/02/2023 01:20pm CST</t>
  </si>
  <si>
    <t>Call 03/02/2023 03:03pm CST</t>
  </si>
  <si>
    <t>Call 03/02/2023 03:07pm CST</t>
  </si>
  <si>
    <t>Jason Sheena</t>
  </si>
  <si>
    <t>Call 03/02/2023 03:16pm CST</t>
  </si>
  <si>
    <t>Call 03/02/2023 03:52pm CST</t>
  </si>
  <si>
    <t>Call 03/02/2023 04:31pm CST</t>
  </si>
  <si>
    <t>Burton Chen</t>
  </si>
  <si>
    <t>Call 03/02/2023 05:00pm CST</t>
  </si>
  <si>
    <t>Mate Rumora 2</t>
  </si>
  <si>
    <t>Call 03/03/2023 08:06am CST</t>
  </si>
  <si>
    <t>Jean Murphy</t>
  </si>
  <si>
    <t>Call 03/03/2023 08:42am CST</t>
  </si>
  <si>
    <t>Matt Kopp</t>
  </si>
  <si>
    <t>Call 03/03/2023 09:00am CST</t>
  </si>
  <si>
    <t>Beijing He</t>
  </si>
  <si>
    <t>Call 03/01/2023 10:37am CST</t>
  </si>
  <si>
    <t>04463933</t>
  </si>
  <si>
    <t>Call 03/01/2023 01:12pm CST</t>
  </si>
  <si>
    <t>Call 03/02/2023 08:20am CST</t>
  </si>
  <si>
    <t>Call 03/02/2023 10:04am CST</t>
  </si>
  <si>
    <t>Call 03/02/2023 10:11am CST</t>
  </si>
  <si>
    <t>Ale Niang</t>
  </si>
  <si>
    <t>Call 03/02/2023 10:30am CST</t>
  </si>
  <si>
    <t>Call 03/02/2023 10:42am CST</t>
  </si>
  <si>
    <t>04096403</t>
  </si>
  <si>
    <t>Ryan Shelley</t>
  </si>
  <si>
    <t>Call 03/02/2023 01:01pm CST</t>
  </si>
  <si>
    <t>Call 03/02/2023 01:57pm CST</t>
  </si>
  <si>
    <t>Jed Glick</t>
  </si>
  <si>
    <t>Call 03/02/2023 02:49pm CST</t>
  </si>
  <si>
    <t>Call 03/02/2023 03:06pm CST</t>
  </si>
  <si>
    <t>Dawud Shah</t>
  </si>
  <si>
    <t>Call 03/01/2023 07:59am CST</t>
  </si>
  <si>
    <t>Call 03/01/2023 08:40am CST</t>
  </si>
  <si>
    <t>Call 03/01/2023 09:11am CST</t>
  </si>
  <si>
    <t>Call 03/01/2023 01:33pm CST</t>
  </si>
  <si>
    <t>Call 03/02/2023 07:30am CST</t>
  </si>
  <si>
    <t>04465438</t>
  </si>
  <si>
    <t>Call 03/02/2023 07:46am CST</t>
  </si>
  <si>
    <t>Call 03/02/2023 08:07am CST</t>
  </si>
  <si>
    <t>Josh Howland</t>
  </si>
  <si>
    <t>Call 03/02/2023 10:49am CST</t>
  </si>
  <si>
    <t>Call 03/02/2023 01:56pm CST</t>
  </si>
  <si>
    <t>Call 03/03/2023 08:32am CST</t>
  </si>
  <si>
    <t>Call 03/01/2023 07:32am CST</t>
  </si>
  <si>
    <t>Call 03/01/2023 09:10am CST</t>
  </si>
  <si>
    <t>Call 03/01/2023 12:12pm CST</t>
  </si>
  <si>
    <t>Call 03/01/2023 01:56pm CST</t>
  </si>
  <si>
    <t>Call 03/01/2023 02:22pm CST</t>
  </si>
  <si>
    <t>Nick Gorski</t>
  </si>
  <si>
    <t>Call 03/02/2023 06:46am CST</t>
  </si>
  <si>
    <t>Call 03/02/2023 07:40am CST</t>
  </si>
  <si>
    <t>Call 03/02/2023 01:00pm CST</t>
  </si>
  <si>
    <t>Call 03/01/2023 03:28pm CST</t>
  </si>
  <si>
    <t>Call 03/01/2023 03:50pm CST</t>
  </si>
  <si>
    <t>Call 03/01/2023 04:14pm CST</t>
  </si>
  <si>
    <t>Brian Jepsen</t>
  </si>
  <si>
    <t>Call 03/02/2023 03:47pm CST</t>
  </si>
  <si>
    <t>Jason Muller</t>
  </si>
  <si>
    <t>3/1/2023 3:55 PM</t>
  </si>
  <si>
    <t>Neuberger Berman Group LLC</t>
  </si>
  <si>
    <t>Adam Mair</t>
  </si>
  <si>
    <t>2/28/2023 12:08 PM</t>
  </si>
  <si>
    <t>2/27/2023 2:11 PM</t>
  </si>
  <si>
    <t>2/27/2023 3:47 PM</t>
  </si>
  <si>
    <t>2/27/2023 4:42 PM</t>
  </si>
  <si>
    <t>2/27/2023 5:17 PM</t>
  </si>
  <si>
    <t>Praesidium Investment Management Company, LLC</t>
  </si>
  <si>
    <t>2/27/2023 5:25 PM</t>
  </si>
  <si>
    <t>2/27/2023 5:49 PM</t>
  </si>
  <si>
    <t>2/28/2023 1:12 PM</t>
  </si>
  <si>
    <t>SouthernSun Asset Management LLC</t>
  </si>
  <si>
    <t>2/28/2023 1:14 PM</t>
  </si>
  <si>
    <t>2/28/2023 1:16 PM</t>
  </si>
  <si>
    <t>2/28/2023 3:50 PM</t>
  </si>
  <si>
    <t>Taiyo Pacific Partners LP</t>
  </si>
  <si>
    <t>2/28/2023 4:19 PM</t>
  </si>
  <si>
    <t>2/28/2023 4:23 PM</t>
  </si>
  <si>
    <t>2/28/2023 5:31 PM</t>
  </si>
  <si>
    <t>Poplar Forest Capital, LLC</t>
  </si>
  <si>
    <t>2/28/2023 6:30 PM</t>
  </si>
  <si>
    <t>3/1/2023 6:13 AM</t>
  </si>
  <si>
    <t>Carlson Capital, L.P.</t>
  </si>
  <si>
    <t>3/1/2023 9:12 AM</t>
  </si>
  <si>
    <t>3/1/2023 9:14 AM</t>
  </si>
  <si>
    <t>3/1/2023 10:45 AM</t>
  </si>
  <si>
    <t>3/1/2023 1:14 PM</t>
  </si>
  <si>
    <t>3/1/2023 2:03 PM</t>
  </si>
  <si>
    <t>3/1/2023 4:36 PM</t>
  </si>
  <si>
    <t>Westwood Global Investments, LLC</t>
  </si>
  <si>
    <t>3/1/2023 4:43 PM</t>
  </si>
  <si>
    <t>3/1/2023 6:39 PM</t>
  </si>
  <si>
    <t>3/1/2023 6:46 PM</t>
  </si>
  <si>
    <t>3/1/2023 7:16 PM</t>
  </si>
  <si>
    <t>3/2/2023 8:13 AM</t>
  </si>
  <si>
    <t>3/2/2023 9:10 AM</t>
  </si>
  <si>
    <t>3/2/2023 12:04 PM</t>
  </si>
  <si>
    <t>3/2/2023 12:46 PM</t>
  </si>
  <si>
    <t>Inclusive Capital Partners LP</t>
  </si>
  <si>
    <t>3/2/2023 1:58 PM</t>
  </si>
  <si>
    <t>3/2/2023 2:33 PM</t>
  </si>
  <si>
    <t>3/2/2023 3:08 PM</t>
  </si>
  <si>
    <t>Lakewood Capital Management, L.P.</t>
  </si>
  <si>
    <t>3/2/2023 4:32 PM</t>
  </si>
  <si>
    <t>3/3/2023 8:30 AM</t>
  </si>
  <si>
    <t>3/3/2023 10:10 AM</t>
  </si>
  <si>
    <t>Encompass Capital Advisors, LLC</t>
  </si>
  <si>
    <t>2/27/2023 7:50 PM</t>
  </si>
  <si>
    <t>ValueAct Capital Management, L.P.</t>
  </si>
  <si>
    <t>2/28/2023 6:10 AM</t>
  </si>
  <si>
    <t>2/28/2023 7:00 AM</t>
  </si>
  <si>
    <t>BetaShares Holdings Pty Ltd</t>
  </si>
  <si>
    <t>2/28/2023 7:45 AM</t>
  </si>
  <si>
    <t>2/28/2023 9:28 AM</t>
  </si>
  <si>
    <t>2/28/2023 10:08 AM</t>
  </si>
  <si>
    <t>Darsana Capital Partners LP</t>
  </si>
  <si>
    <t>2/28/2023 11:47 AM</t>
  </si>
  <si>
    <t>2/28/2023 1:00 PM</t>
  </si>
  <si>
    <t>DUMAC, Inc.</t>
  </si>
  <si>
    <t>2/28/2023 4:05 PM</t>
  </si>
  <si>
    <t>Artemis Capital Advisers LP</t>
  </si>
  <si>
    <t>2/28/2023 7:41 PM</t>
  </si>
  <si>
    <t>3/1/2023 1:49 AM</t>
  </si>
  <si>
    <t>3/1/2023 9:07 AM</t>
  </si>
  <si>
    <t>3/1/2023 9:41 AM</t>
  </si>
  <si>
    <t>3/1/2023 10:20 AM</t>
  </si>
  <si>
    <t>3/2/2023 6:10 AM</t>
  </si>
  <si>
    <t>3/2/2023 7:47 AM</t>
  </si>
  <si>
    <t>3/2/2023 8:18 AM</t>
  </si>
  <si>
    <t>3/2/2023 8:51 AM</t>
  </si>
  <si>
    <t>3/2/2023 9:03 AM</t>
  </si>
  <si>
    <t>3/2/2023 9:04 AM</t>
  </si>
  <si>
    <t>3/2/2023 12:00 PM</t>
  </si>
  <si>
    <t>3/2/2023 12:25 PM</t>
  </si>
  <si>
    <t>3/3/2023 6:05 AM</t>
  </si>
  <si>
    <t>3/3/2023 7:46 AM</t>
  </si>
  <si>
    <t>3/3/2023 8:06 AM</t>
  </si>
  <si>
    <t>3/3/2023 9:36 AM</t>
  </si>
  <si>
    <t>2/28/2023 9:54 AM</t>
  </si>
  <si>
    <t>2/28/2023 11:14 AM</t>
  </si>
  <si>
    <t>2/28/2023 1:23 PM</t>
  </si>
  <si>
    <t>3/1/2023 10:29 AM</t>
  </si>
  <si>
    <t>3/1/2023 11:26 AM</t>
  </si>
  <si>
    <t>3/1/2023 3:19 PM</t>
  </si>
  <si>
    <t>3/1/2023 3:21 PM</t>
  </si>
  <si>
    <t>3/1/2023 4:07 PM</t>
  </si>
  <si>
    <t>3/2/2023 9:50 AM</t>
  </si>
  <si>
    <t>Peregrine Capital Management, LLC</t>
  </si>
  <si>
    <t>3/2/2023 11:06 AM</t>
  </si>
  <si>
    <t>3/2/2023 1:17 PM</t>
  </si>
  <si>
    <t>3/2/2023 2:07 PM</t>
  </si>
  <si>
    <t>3/2/2023 4:39 PM</t>
  </si>
  <si>
    <t>3/3/2023 3:17 AM</t>
  </si>
  <si>
    <t>3/3/2023 8:45 AM</t>
  </si>
  <si>
    <t>3/3/2023 9:35 AM</t>
  </si>
  <si>
    <t>Oldfield Partners LLP</t>
  </si>
  <si>
    <t>3/3/2023 10:17 AM</t>
  </si>
  <si>
    <t>2/28/2023 9:33 AM</t>
  </si>
  <si>
    <t>Cowen and Company, LLC</t>
  </si>
  <si>
    <t>2/25/2023 6:42 PM</t>
  </si>
  <si>
    <t>2/27/2023 2:30 PM</t>
  </si>
  <si>
    <t>2/27/2023 2:41 PM</t>
  </si>
  <si>
    <t>Abrams Capital Management, LLC</t>
  </si>
  <si>
    <t>2/27/2023 3:27 PM</t>
  </si>
  <si>
    <t>2/28/2023 8:18 AM</t>
  </si>
  <si>
    <t>2/28/2023 1:56 PM</t>
  </si>
  <si>
    <t>2/28/2023 3:23 PM</t>
  </si>
  <si>
    <t>2/28/2023 7:31 PM</t>
  </si>
  <si>
    <t>3/1/2023 9:44 AM</t>
  </si>
  <si>
    <t>INTL Fillmore Advisors LLC</t>
  </si>
  <si>
    <t>3/1/2023 2:47 PM</t>
  </si>
  <si>
    <t>3/1/2023 3:35 PM</t>
  </si>
  <si>
    <t>3/1/2023 4:29 PM</t>
  </si>
  <si>
    <t>3/2/2023 8:36 AM</t>
  </si>
  <si>
    <t>Coatue Management, LLC</t>
  </si>
  <si>
    <t>3/2/2023 9:38 AM</t>
  </si>
  <si>
    <t>3/2/2023 1:51 PM</t>
  </si>
  <si>
    <t>3/2/2023 5:22 PM</t>
  </si>
  <si>
    <t>3/3/2023 7:12 AM</t>
  </si>
  <si>
    <t>3/3/2023 9:16 AM</t>
  </si>
  <si>
    <t>Hurricane Capital Advisors LLC</t>
  </si>
  <si>
    <t>2/27/2023 4:05 PM</t>
  </si>
  <si>
    <t>2/27/2023 4:35 PM</t>
  </si>
  <si>
    <t>2/27/2023 4:50 PM</t>
  </si>
  <si>
    <t>2/27/2023 5:40 PM</t>
  </si>
  <si>
    <t>2/28/2023 2:47 PM</t>
  </si>
  <si>
    <t>2/28/2023 4:53 PM</t>
  </si>
  <si>
    <t>2/28/2023 5:30 PM</t>
  </si>
  <si>
    <t>2/28/2023 5:40 PM</t>
  </si>
  <si>
    <t>2/28/2023 6:05 PM</t>
  </si>
  <si>
    <t>3/1/2023 2:25 PM</t>
  </si>
  <si>
    <t>3/1/2023 4:38 PM</t>
  </si>
  <si>
    <t>3/1/2023 5:15 PM</t>
  </si>
  <si>
    <t>3/1/2023 5:40 PM</t>
  </si>
  <si>
    <t>3/2/2023 2:20 PM</t>
  </si>
  <si>
    <t>3/2/2023 2:26 PM</t>
  </si>
  <si>
    <t>3/2/2023 4:11 PM</t>
  </si>
  <si>
    <t>3/2/2023 4:23 PM</t>
  </si>
  <si>
    <t>3/2/2023 5:40 PM</t>
  </si>
  <si>
    <t>3/2/2023 6:05 PM</t>
  </si>
  <si>
    <t>3/1/2023 2:23 PM</t>
  </si>
  <si>
    <t>3/2/2023 8:43 AM</t>
  </si>
  <si>
    <t>2/28/2023 9:02 AM</t>
  </si>
  <si>
    <t>2/28/2023 3:35 PM</t>
  </si>
  <si>
    <t>3/1/2023 8:01 AM</t>
  </si>
  <si>
    <t>Annex Wealth Management, LLC</t>
  </si>
  <si>
    <t>3/1/2023 12:03 PM</t>
  </si>
  <si>
    <t>3/1/2023 5:22 PM</t>
  </si>
  <si>
    <t>3/2/2023 1:09 AM</t>
  </si>
  <si>
    <t>3/2/2023 7:58 AM</t>
  </si>
  <si>
    <t>3/2/2023 1:25 PM</t>
  </si>
  <si>
    <t>2/27/2023 3:55 PM</t>
  </si>
  <si>
    <t>PointState Capital LP</t>
  </si>
  <si>
    <t>Tim Duplantier</t>
  </si>
  <si>
    <t>2/28/2023 12:25 PM</t>
  </si>
  <si>
    <t>Philadelphia Financial Management of San Francisco LLC</t>
  </si>
  <si>
    <t>3/1/2023 1:41 PM</t>
  </si>
  <si>
    <t>Cinctive Capital Management LP</t>
  </si>
  <si>
    <t>2/28/2023 4:02 PM</t>
  </si>
  <si>
    <t>Jericho Capital Asset Management L.P.</t>
  </si>
  <si>
    <t>2/28/2023 12:00 PM</t>
  </si>
  <si>
    <t>Polaris Capital Management, LLC</t>
  </si>
  <si>
    <t>2/28/2023 8:21 AM</t>
  </si>
  <si>
    <t>Brookfield Public Securities Group LLC</t>
  </si>
  <si>
    <t>Brett Cleary</t>
  </si>
  <si>
    <t>3/1/2023 10:26 AM</t>
  </si>
  <si>
    <t>3/2/2023 6:20 AM</t>
  </si>
  <si>
    <t>Anomaly Capital Management, LP</t>
  </si>
  <si>
    <t>Roger LaRocca</t>
  </si>
  <si>
    <t>3/1/2023 3:16 PM</t>
  </si>
  <si>
    <t>04462696</t>
  </si>
  <si>
    <t>(HOLD FOR AMER)Data added to CSV adat reports column</t>
  </si>
  <si>
    <t>2/28/2023 8:29 PM</t>
  </si>
  <si>
    <t>2/28/2023 8:30 PM</t>
  </si>
  <si>
    <t>04464252</t>
  </si>
  <si>
    <t>FW: Charles Schwab PB Eligibility Check</t>
  </si>
  <si>
    <t>3/1/2023 6:27 PM</t>
  </si>
  <si>
    <t>3/1/2023 2:53 PM</t>
  </si>
  <si>
    <t>04463698</t>
  </si>
  <si>
    <t>RE: IXQ- Trades in AUDSUM Entered **Inflation Cusip**</t>
  </si>
  <si>
    <t>3/1/2023 1:03 PM</t>
  </si>
  <si>
    <t>3/1/2023 1:02 PM</t>
  </si>
  <si>
    <t>TCA</t>
  </si>
  <si>
    <t>3/1/2023 4:08 PM</t>
  </si>
  <si>
    <t>FIX</t>
  </si>
  <si>
    <t>04462263</t>
  </si>
  <si>
    <t>Bulk update to Security Info User Defined field?</t>
  </si>
  <si>
    <t>2/28/2023 2:09 PM</t>
  </si>
  <si>
    <t>2/28/2023 2:06 PM</t>
  </si>
  <si>
    <t>04466172</t>
  </si>
  <si>
    <t>Reload Positions for Today</t>
  </si>
  <si>
    <t>3/2/2023 4:40 PM</t>
  </si>
  <si>
    <t>3/2/2023 2:32 PM</t>
  </si>
  <si>
    <t>04460846</t>
  </si>
  <si>
    <t>New email trade file</t>
  </si>
  <si>
    <t>2/27/2023 6:57 PM</t>
  </si>
  <si>
    <t>2/27/2023 6:54 PM</t>
  </si>
  <si>
    <t>04465488</t>
  </si>
  <si>
    <t>Follow Up On Call</t>
  </si>
  <si>
    <t>3/2/2023 11:00 AM</t>
  </si>
  <si>
    <t>3/2/2023 9:23 AM</t>
  </si>
  <si>
    <t>04467587</t>
  </si>
  <si>
    <t>T Drive access</t>
  </si>
  <si>
    <t>3/3/2023 12:04 PM</t>
  </si>
  <si>
    <t>3/3/2023 12:03 PM</t>
  </si>
  <si>
    <t>04461852</t>
  </si>
  <si>
    <t>MNG Position File Not Sent</t>
  </si>
  <si>
    <t>2/28/2023 10:04 AM</t>
  </si>
  <si>
    <t>2/28/2023 8:41 AM</t>
  </si>
  <si>
    <t>04464474</t>
  </si>
  <si>
    <t>Rejected messages on TORA_EZE_TYBOURNE&lt;&gt;EZE_TORA_TYBOURNE 2023-03-02</t>
  </si>
  <si>
    <t>3/1/2023 6:17 PM</t>
  </si>
  <si>
    <t>3/1/2023 4:57 PM</t>
  </si>
  <si>
    <t>04460648</t>
  </si>
  <si>
    <t>Right Click Send Issue in Broker Window</t>
  </si>
  <si>
    <t>2/27/2023 4:17 PM</t>
  </si>
  <si>
    <t>04467326</t>
  </si>
  <si>
    <t>FW: [CONFIDENTIAL] D1 Capital Partners - DK Alert - Symbol --- SAF FP</t>
  </si>
  <si>
    <t>3/3/2023 8:49 AM</t>
  </si>
  <si>
    <t>04463695</t>
  </si>
  <si>
    <t>Ticket#2399457/ Updated: RE: Unable to Log In to Eze Portal Support</t>
  </si>
  <si>
    <t>3/1/2023 10:36 AM</t>
  </si>
  <si>
    <t>3/1/2023 10:31 AM</t>
  </si>
  <si>
    <t>04466026</t>
  </si>
  <si>
    <t>RA Capital - Setting Default Algo Settings</t>
  </si>
  <si>
    <t>3/2/2023 3:22 PM</t>
  </si>
  <si>
    <t>3/2/2023 3:20 PM</t>
  </si>
  <si>
    <t>04462401</t>
  </si>
  <si>
    <t>EOD Trade File</t>
  </si>
  <si>
    <t>2/28/2023 2:14 PM</t>
  </si>
  <si>
    <t>2/28/2023 2:11 PM</t>
  </si>
  <si>
    <t>04463287</t>
  </si>
  <si>
    <t>[HOLD FOR AMER] Send Trader ID for DSA algo order - NYFXINTL..INDSIN40.</t>
  </si>
  <si>
    <t>3/1/2023 2:56 AM</t>
  </si>
  <si>
    <t>3/1/2023 2:58 AM</t>
  </si>
  <si>
    <t>Config Change - Single MMC Connection</t>
  </si>
  <si>
    <t>04466356</t>
  </si>
  <si>
    <t>ACTION REQUIRED -AR missed DALTON INVESTMENTS</t>
  </si>
  <si>
    <t>3/2/2023 5:14 PM</t>
  </si>
  <si>
    <t>3/2/2023 4:59 PM</t>
  </si>
  <si>
    <t>04462422</t>
  </si>
  <si>
    <t>Unable to Log In to Eze Portal Support</t>
  </si>
  <si>
    <t>2/28/2023 2:17 PM</t>
  </si>
  <si>
    <t>2/28/2023 2:16 PM</t>
  </si>
  <si>
    <t>04462186</t>
  </si>
  <si>
    <t>New compliance rule</t>
  </si>
  <si>
    <t>2/28/2023 12:11 PM</t>
  </si>
  <si>
    <t>04467413</t>
  </si>
  <si>
    <t>ALERT: Unprocessed Eze Domestic Locate File Found</t>
  </si>
  <si>
    <t>3/3/2023 9:27 AM</t>
  </si>
  <si>
    <t>04464307</t>
  </si>
  <si>
    <t>RE: Trade File</t>
  </si>
  <si>
    <t>3/1/2023 4:02 PM</t>
  </si>
  <si>
    <t>3/1/2023 3:54 PM</t>
  </si>
  <si>
    <t>04464343</t>
  </si>
  <si>
    <t>please hold PM BNY, CIBC, SGSS processes - 3/1/2023</t>
  </si>
  <si>
    <t>3/1/2023 4:17 PM</t>
  </si>
  <si>
    <t>3/1/2023 4:13 PM</t>
  </si>
  <si>
    <t>04464251</t>
  </si>
  <si>
    <t>Arosa Cap - OMS</t>
  </si>
  <si>
    <t>3/1/2023 3:02 PM</t>
  </si>
  <si>
    <t>3/1/2023 3:01 PM</t>
  </si>
  <si>
    <t>View Manager</t>
  </si>
  <si>
    <t>04465922</t>
  </si>
  <si>
    <t>Please send documentation for how to perform a single portfolio import</t>
  </si>
  <si>
    <t>3/2/2023 2:04 PM</t>
  </si>
  <si>
    <t>3/2/2023 1:54 PM</t>
  </si>
  <si>
    <t>Eze - Bulk Update 'GROUPBYTAG' Column</t>
  </si>
  <si>
    <t>2/27/2023 2:49 PM</t>
  </si>
  <si>
    <t>2/27/2023 2:48 PM</t>
  </si>
  <si>
    <t>04462335</t>
  </si>
  <si>
    <t>Waiting – Internal</t>
  </si>
  <si>
    <t>TradeSync Break After Finalizing Order in the OMS</t>
  </si>
  <si>
    <t>2/28/2023 1:02 PM</t>
  </si>
  <si>
    <t>2/28/2023 1:01 PM</t>
  </si>
  <si>
    <t>EMS-OMS Integration</t>
  </si>
  <si>
    <t>FW: [EXTERNAL] Pre-trade Compliance Run Notification: 1 Violations: 1 Pending, 0 Restriction, 0 Override, 0 Warning.</t>
  </si>
  <si>
    <t>2/28/2023 4:12 PM</t>
  </si>
  <si>
    <t>Security master issue CUSIP 29273VAJ9- follow up</t>
  </si>
  <si>
    <t>2/27/2023 4:39 PM</t>
  </si>
  <si>
    <t>2/27/2023 4:38 PM</t>
  </si>
  <si>
    <t>04465422</t>
  </si>
  <si>
    <t>D1 Change Working Amount Error[MAERSKB DC SWAP]</t>
  </si>
  <si>
    <t>3/2/2023 8:47 AM</t>
  </si>
  <si>
    <t>3/2/2023 8:44 AM</t>
  </si>
  <si>
    <t>04466254</t>
  </si>
  <si>
    <t>Trade Blotter in OMS</t>
  </si>
  <si>
    <t>3/2/2023 3:42 PM</t>
  </si>
  <si>
    <t>3/2/2023 3:41 PM</t>
  </si>
  <si>
    <t>04464488</t>
  </si>
  <si>
    <t>VPM trade files</t>
  </si>
  <si>
    <t>3/1/2023 5:13 PM</t>
  </si>
  <si>
    <t>04467585</t>
  </si>
  <si>
    <t>VS: Encompass not seeing fills</t>
  </si>
  <si>
    <t>3/3/2023 10:39 AM</t>
  </si>
  <si>
    <t>3/3/2023 10:35 AM</t>
  </si>
  <si>
    <t>04467357</t>
  </si>
  <si>
    <t>Top 10 Holdings</t>
  </si>
  <si>
    <t>3/3/2023 8:14 AM</t>
  </si>
  <si>
    <t>3/3/2023 8:13 AM</t>
  </si>
  <si>
    <t>04467529</t>
  </si>
  <si>
    <t>Escalated</t>
  </si>
  <si>
    <t>Product Solutions</t>
  </si>
  <si>
    <t>Exit trade Error</t>
  </si>
  <si>
    <t>3/3/2023 9:37 AM</t>
  </si>
  <si>
    <t>3/3/2023 10:04 AM</t>
  </si>
  <si>
    <t>3/3/2023 10:05 AM</t>
  </si>
  <si>
    <t>Trading Service</t>
  </si>
  <si>
    <t>Eze Interface - EDI - API</t>
  </si>
  <si>
    <t>04466519</t>
  </si>
  <si>
    <t>ClosedEnd SECFee</t>
  </si>
  <si>
    <t>3/2/2023 5:46 PM</t>
  </si>
  <si>
    <t>3/2/2023 5:38 PM</t>
  </si>
  <si>
    <t>RE: Meritage PM Process Started</t>
  </si>
  <si>
    <t>2/27/2023 5:05 PM</t>
  </si>
  <si>
    <t>2/27/2023 5:04 PM</t>
  </si>
  <si>
    <t>04464651</t>
  </si>
  <si>
    <t>Data Validity Check: Carlson AR</t>
  </si>
  <si>
    <t>3/1/2023 7:08 PM</t>
  </si>
  <si>
    <t>3/1/2023 6:50 PM</t>
  </si>
  <si>
    <t>04462439</t>
  </si>
  <si>
    <t>RE: Eze Profile Update</t>
  </si>
  <si>
    <t>2/28/2023 1:44 PM</t>
  </si>
  <si>
    <t>2/28/2023 1:42 PM</t>
  </si>
  <si>
    <t>04467520</t>
  </si>
  <si>
    <t>Ticket#2401516/ Updated: FAO - Elizabeth</t>
  </si>
  <si>
    <t>3/3/2023 9:52 AM</t>
  </si>
  <si>
    <t>3/3/2023 9:46 AM</t>
  </si>
  <si>
    <t>04461134</t>
  </si>
  <si>
    <t>(HOLD FOR AMER)Update to SEC fees in OMS</t>
  </si>
  <si>
    <t>2/27/2023 8:06 PM</t>
  </si>
  <si>
    <t>04463093</t>
  </si>
  <si>
    <t>(HOLD FOR AMER) Position not reflect in trade ticket</t>
  </si>
  <si>
    <t>2/28/2023 7:56 PM</t>
  </si>
  <si>
    <t>2/28/2023 8:21 PM</t>
  </si>
  <si>
    <t>04465829</t>
  </si>
  <si>
    <t>WE 1</t>
  </si>
  <si>
    <t>3/2/2023 12:42 PM</t>
  </si>
  <si>
    <t>3/2/2023 12:40 PM</t>
  </si>
  <si>
    <t>04465853</t>
  </si>
  <si>
    <t>RE: [External] Inclusive Capital Partners'</t>
  </si>
  <si>
    <t>3/2/2023 1:01 PM</t>
  </si>
  <si>
    <t>3/2/2023 12:59 PM</t>
  </si>
  <si>
    <t>04461945</t>
  </si>
  <si>
    <t>FW: AXON not allocating to A1/A2 for Manager code DE1</t>
  </si>
  <si>
    <t>2/28/2023 9:16 AM</t>
  </si>
  <si>
    <t>2/28/2023 10:10 AM</t>
  </si>
  <si>
    <t>04462556</t>
  </si>
  <si>
    <t>Trade Winds _ APL</t>
  </si>
  <si>
    <t>2/28/2023 3:01 PM</t>
  </si>
  <si>
    <t>2/28/2023 2:56 PM</t>
  </si>
  <si>
    <t>04464222</t>
  </si>
  <si>
    <t>SP3 Custodian</t>
  </si>
  <si>
    <t>3/1/2023 2:16 PM</t>
  </si>
  <si>
    <t>3/1/2023 2:15 PM</t>
  </si>
  <si>
    <t>04465713</t>
  </si>
  <si>
    <t>RE: Peregrine AM delay</t>
  </si>
  <si>
    <t>3/2/2023 11:20 AM</t>
  </si>
  <si>
    <t>3/2/2023 11:12 AM</t>
  </si>
  <si>
    <t>04466161</t>
  </si>
  <si>
    <t>RE: Please reset password for Alina  - AEpifantseva</t>
  </si>
  <si>
    <t>3/2/2023 2:34 PM</t>
  </si>
  <si>
    <t>04464673</t>
  </si>
  <si>
    <t>[Hold for AMER] Cancelling a committed order</t>
  </si>
  <si>
    <t>3/1/2023 7:27 PM</t>
  </si>
  <si>
    <t>3/1/2023 7:29 PM</t>
  </si>
  <si>
    <t>04466201</t>
  </si>
  <si>
    <t>Credit Spread UDF and Report</t>
  </si>
  <si>
    <t>3/2/2023 2:43 PM</t>
  </si>
  <si>
    <t>3/2/2023 2:40 PM</t>
  </si>
  <si>
    <t>04462665</t>
  </si>
  <si>
    <t>2/28/2023 4:00 PM</t>
  </si>
  <si>
    <t>2/28/2023 3:58 PM</t>
  </si>
  <si>
    <t>04461999</t>
  </si>
  <si>
    <t>Trade issue</t>
  </si>
  <si>
    <t>2/28/2023 9:37 AM</t>
  </si>
  <si>
    <t>2/28/2023 9:31 AM</t>
  </si>
  <si>
    <t>04463522</t>
  </si>
  <si>
    <t>[HOLD FOR AMER] Hanging Drop Copies</t>
  </si>
  <si>
    <t>3/1/2023 6:22 AM</t>
  </si>
  <si>
    <t>3/1/2023 6:23 AM</t>
  </si>
  <si>
    <t>04464982</t>
  </si>
  <si>
    <t>[Hold of AMER] SPOS4X file for 2/27/23</t>
  </si>
  <si>
    <t>3/2/2023 1:18 AM</t>
  </si>
  <si>
    <t>3/2/2023 1:29 AM</t>
  </si>
  <si>
    <t>04465379</t>
  </si>
  <si>
    <t>3/2/2023 7:56 AM</t>
  </si>
  <si>
    <t>3/2/2023 7:54 AM</t>
  </si>
  <si>
    <t>04465965</t>
  </si>
  <si>
    <t>Update Eze 'TeddyPnL' View</t>
  </si>
  <si>
    <t>3/2/2023 2:00 PM</t>
  </si>
  <si>
    <t>3/2/2023 1:59 PM</t>
  </si>
  <si>
    <t>04465985</t>
  </si>
  <si>
    <t>FW: SS&amp;C Holdings Ready to Load</t>
  </si>
  <si>
    <t>3/2/2023 2:08 PM</t>
  </si>
  <si>
    <t>04463884</t>
  </si>
  <si>
    <t>Allocations Not Delivered to Fidelity</t>
  </si>
  <si>
    <t>3/1/2023 10:53 AM</t>
  </si>
  <si>
    <t>04464310</t>
  </si>
  <si>
    <t>3/1/2023 3:28 PM</t>
  </si>
  <si>
    <t>3/1/2023 3:25 PM</t>
  </si>
  <si>
    <t>04465444</t>
  </si>
  <si>
    <t>Comm/fee schedule new rule</t>
  </si>
  <si>
    <t>3/2/2023 8:42 AM</t>
  </si>
  <si>
    <t>04466401</t>
  </si>
  <si>
    <t>Trade stuck in A state</t>
  </si>
  <si>
    <t>04462426</t>
  </si>
  <si>
    <t>Fix connection</t>
  </si>
  <si>
    <t>2/28/2023 1:22 PM</t>
  </si>
  <si>
    <t>04462736</t>
  </si>
  <si>
    <t>Amendment</t>
  </si>
  <si>
    <t>2/28/2023 4:30 PM</t>
  </si>
  <si>
    <t>2/28/2023 4:28 PM</t>
  </si>
  <si>
    <t>04464164</t>
  </si>
  <si>
    <t>Frontier - Mid Cap Trade Reports - Scientific Notation</t>
  </si>
  <si>
    <t>3/1/2023 1:21 PM</t>
  </si>
  <si>
    <t>3/1/2023 1:19 PM</t>
  </si>
  <si>
    <t>04460713</t>
  </si>
  <si>
    <t>[CONFIDENTIAL] Viking - DK Alert - Symbol --- CBA</t>
  </si>
  <si>
    <t>2/27/2023 3:52 PM</t>
  </si>
  <si>
    <t>2/27/2023 3:51 PM</t>
  </si>
  <si>
    <t>04463034</t>
  </si>
  <si>
    <t>2/28/2023 6:35 PM</t>
  </si>
  <si>
    <t>2/28/2023 6:31 PM</t>
  </si>
  <si>
    <t>04464467</t>
  </si>
  <si>
    <t>Lightning bolt on the trade blotter</t>
  </si>
  <si>
    <t>3/1/2023 4:42 PM</t>
  </si>
  <si>
    <t>3/1/2023 4:41 PM</t>
  </si>
  <si>
    <t>04464638</t>
  </si>
  <si>
    <t>Fwd: BAU-PROD IMS Trade Communications Notification - IXQ Batch Acceptance Report</t>
  </si>
  <si>
    <t>3/1/2023 6:42 PM</t>
  </si>
  <si>
    <t>04462073</t>
  </si>
  <si>
    <t>RE: [CONFIDENTIAL] Darsana - DK Alert - Symbol --- SAM</t>
  </si>
  <si>
    <t>2/28/2023 10:13 AM</t>
  </si>
  <si>
    <t>2/28/2023 10:11 AM</t>
  </si>
  <si>
    <t>04462471</t>
  </si>
  <si>
    <t>Product Specialist - Operations &amp; Market Data - AMER</t>
  </si>
  <si>
    <t>Fox River SFTP Migration to Instinet</t>
  </si>
  <si>
    <t>2/28/2023 1:45 PM</t>
  </si>
  <si>
    <t>2/28/2023 1:51 PM</t>
  </si>
  <si>
    <t>2/28/2023 4:08 PM</t>
  </si>
  <si>
    <t>Third Party / Vendor Change</t>
  </si>
  <si>
    <t>RE: URGENT !!  ID PMACS102 Password Reset</t>
  </si>
  <si>
    <t>2/28/2023 1:15 PM</t>
  </si>
  <si>
    <t>04462896</t>
  </si>
  <si>
    <t>RE: Attn: Anthony</t>
  </si>
  <si>
    <t>2/28/2023 5:35 PM</t>
  </si>
  <si>
    <t>04465430</t>
  </si>
  <si>
    <t>Can I delete out the test trade?</t>
  </si>
  <si>
    <t>3/2/2023 8:23 AM</t>
  </si>
  <si>
    <t>3/2/2023 8:22 AM</t>
  </si>
  <si>
    <t>04464399</t>
  </si>
  <si>
    <t>3/1/2023 4:10 PM</t>
  </si>
  <si>
    <t>ADM Investor Services</t>
  </si>
  <si>
    <t>Isaac Bamer</t>
  </si>
  <si>
    <t>Jack Carlson</t>
  </si>
  <si>
    <t>Jim DePierre</t>
  </si>
  <si>
    <t>FIX Support</t>
  </si>
  <si>
    <t>Jeff Arena</t>
  </si>
  <si>
    <t>Brooks Miller</t>
  </si>
  <si>
    <t>Tom Michalik</t>
  </si>
  <si>
    <t>Kevin O'Brien</t>
  </si>
  <si>
    <t>Trade Execution - OMS</t>
  </si>
  <si>
    <t>Ben Foster</t>
  </si>
  <si>
    <t>Project Time Tracking</t>
  </si>
  <si>
    <t>1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</si>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</sst>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1"/>
      <name val="Calibri Light"/>
      <scheme val="major"/>
    </font>
    <font>
      <b/>
      <sz val="11"/>
      <color theme="0"/>
      <name val="Calibri"/>
      <family val="2"/>
      <scheme val="minor"/>
    </font>
    <font>
      <sz val="11"/>
      <color rgb="FF000000"/>
      <name val="Calibri Light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1" xfId="0" applyFont="1" applyFill="1" applyBorder="1"/>
    <xf numFmtId="14" fontId="3" fillId="2" borderId="2" xfId="0" applyNumberFormat="1" applyFont="1" applyFill="1" applyBorder="1"/>
    <xf numFmtId="0" fontId="3" fillId="0" borderId="0" xfId="0" applyFont="1"/>
    <xf numFmtId="14" fontId="3" fillId="0" borderId="0" xfId="0" applyNumberFormat="1" applyFont="1"/>
    <xf numFmtId="2" fontId="0" fillId="0" borderId="0" xfId="0" applyNumberFormat="1"/>
    <xf numFmtId="0" fontId="0" fillId="0" borderId="4" xfId="0" applyBorder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0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5B6B66C5-4D83-4A64-8F8E-6071973751C4}" autoFormatId="16" applyNumberFormats="0" applyBorderFormats="0" applyFontFormats="0" applyPatternFormats="0" applyAlignmentFormats="0" applyWidthHeightFormats="0">
  <queryTableRefresh nextId="5">
    <queryTableFields count="4">
      <queryTableField id="1" name="Current Owner's Team" tableColumnId="1"/>
      <queryTableField id="2" name="Case Owner" tableColumnId="2"/>
      <queryTableField id="3" name="Date/Time Opened" tableColumnId="3"/>
      <queryTableField id="4" name="Account Nam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770D0AC0-4A0A-4411-B343-4A2A7DAB42F7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Created By: Full Name" tableColumnId="1"/>
      <queryTableField id="2" name="Created Date" tableColumnId="2"/>
      <queryTableField id="3" name="Name: Name" tableColumnId="3"/>
      <queryTableField id="4" name="Subject" tableColumnId="4"/>
      <queryTableField id="5" name="Related To: Name" tableColumnId="5"/>
      <queryTableField id="6" name="Call Duration" tableColumnId="6"/>
      <queryTableField id="7" dataBound="0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0FD8E97E-34B3-47CE-8501-5CBCED8ED0CC}" autoFormatId="16" applyNumberFormats="0" applyBorderFormats="0" applyFontFormats="0" applyPatternFormats="0" applyAlignmentFormats="0" applyWidthHeightFormats="0">
  <queryTableRefresh nextId="16">
    <queryTableFields count="15">
      <queryTableField id="1" name="OMS Team" tableColumnId="1"/>
      <queryTableField id="2" name="Case Number" tableColumnId="2"/>
      <queryTableField id="3" name="Transferred By" tableColumnId="3"/>
      <queryTableField id="4" name="Status" tableColumnId="4"/>
      <queryTableField id="5" name="Current Owner's Team" tableColumnId="5"/>
      <queryTableField id="6" name="Overall Revenue Rank" tableColumnId="6"/>
      <queryTableField id="7" name="Account Name" tableColumnId="7"/>
      <queryTableField id="8" name="Subject" tableColumnId="8"/>
      <queryTableField id="9" name="Urgency" tableColumnId="9"/>
      <queryTableField id="10" name="Impact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Subtype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C5562555-07FD-4B2C-ADE4-DAFB789102CE}" autoFormatId="16" applyNumberFormats="0" applyBorderFormats="0" applyFontFormats="0" applyPatternFormats="0" applyAlignmentFormats="0" applyWidthHeightFormats="0">
  <queryTableRefresh nextId="17">
    <queryTableFields count="16">
      <queryTableField id="1" name="OMS Team" tableColumnId="1"/>
      <queryTableField id="2" name="Case Number" tableColumnId="2"/>
      <queryTableField id="3" name="Case Owner" tableColumnId="3"/>
      <queryTableField id="4" name="Status" tableColumnId="4"/>
      <queryTableField id="5" name="Overall Revenue Rank" tableColumnId="5"/>
      <queryTableField id="6" name="Account Name" tableColumnId="6"/>
      <queryTableField id="7" name="Contact Name" tableColumnId="7"/>
      <queryTableField id="8" name="Subject" tableColumnId="8"/>
      <queryTableField id="9" name="Case Record Type" tableColumnId="9"/>
      <queryTableField id="10" name="Urgency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Type" tableColumnId="15"/>
      <queryTableField id="16" name="Case Subtype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380ABF8B-9DA5-4D09-95C2-8B719EA9F135}" autoFormatId="16" applyNumberFormats="0" applyBorderFormats="0" applyFontFormats="0" applyPatternFormats="0" applyAlignmentFormats="0" applyWidthHeightFormats="0">
  <queryTableRefresh nextId="12">
    <queryTableFields count="11">
      <queryTableField id="1" name="Timecard: Owner Name" tableColumnId="1"/>
      <queryTableField id="2" name="Work Type" tableColumnId="2"/>
      <queryTableField id="3" name="Total Time" tableColumnId="3"/>
      <queryTableField id="4" name="Owner's Team" tableColumnId="4"/>
      <queryTableField id="5" name="Case: Case Record Type" tableColumnId="5"/>
      <queryTableField id="6" name="Case: Case Type" tableColumnId="6"/>
      <queryTableField id="7" name="Case: Client Service Priority" tableColumnId="7"/>
      <queryTableField id="8" name="Case: Total Case Time" tableColumnId="8"/>
      <queryTableField id="9" name="Case: Urgency" tableColumnId="9"/>
      <queryTableField id="10" name="Case: Impact" tableColumnId="10"/>
      <queryTableField id="11" name="Case: Opened Date" tableColumnId="1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1C5A79-C92E-42C2-8484-38372E167F1D}" name="Table2" displayName="Table2" ref="A1:H46" totalsRowShown="0" dataDxfId="69">
  <autoFilter ref="A1:H46" xr:uid="{191C5A79-C92E-42C2-8484-38372E167F1D}"/>
  <sortState xmlns:xlrd2="http://schemas.microsoft.com/office/spreadsheetml/2017/richdata2" ref="A2:H22">
    <sortCondition ref="B1:B22"/>
  </sortState>
  <tableColumns count="8">
    <tableColumn id="9" xr3:uid="{CE6821C3-F99F-49FF-A07E-1B4A9CC3BB3A}" name="Index" dataDxfId="68" totalsRowDxfId="67">
      <calculatedColumnFormula>ROW()-1</calculatedColumnFormula>
    </tableColumn>
    <tableColumn id="1" xr3:uid="{84D8569F-52A8-4A37-AB0F-7D444CF9D378}" name="Date" dataDxfId="66" totalsRowDxfId="65"/>
    <tableColumn id="2" xr3:uid="{1D375B47-ADCB-461B-9A02-994C88941E42}" name="Total Cases" dataDxfId="64"/>
    <tableColumn id="3" xr3:uid="{98C031B2-BF0E-470C-9341-819199601892}" name="Inbound Calls" dataDxfId="63"/>
    <tableColumn id="5" xr3:uid="{07127668-AEED-4C49-B006-CE2CD029DE08}" name="RT" dataDxfId="62"/>
    <tableColumn id="6" xr3:uid="{9448788D-AE10-45F8-BAB4-97AE165A4F11}" name="RT +1" dataDxfId="61"/>
    <tableColumn id="7" xr3:uid="{307552D6-25EB-4BD5-A4C2-2FD1C4540E58}" name="Vol of RT+1" dataDxfId="60"/>
    <tableColumn id="8" xr3:uid="{91CCDE53-7FA8-44AC-AB3E-35B11AC5C454}" name="TL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EF61F9-C7A5-4F94-A4CE-7B38DAF1958C}" name="Table5" displayName="Table5" ref="A1:H6" totalsRowShown="0" headerRowDxfId="58" headerRowBorderDxfId="57" tableBorderDxfId="56">
  <autoFilter ref="A1:H6" xr:uid="{CCEF61F9-C7A5-4F94-A4CE-7B38DAF1958C}"/>
  <sortState xmlns:xlrd2="http://schemas.microsoft.com/office/spreadsheetml/2017/richdata2" ref="A2:H6">
    <sortCondition descending="1" ref="A1:A6"/>
  </sortState>
  <tableColumns count="8">
    <tableColumn id="1" xr3:uid="{EB66A81A-1C2C-4C04-81FC-F226B78F6159}" name="Index" dataDxfId="55">
      <calculatedColumnFormula>MIN(Table2[Index])+(ROWS(Table2[])-ROW())+1</calculatedColumnFormula>
    </tableColumn>
    <tableColumn id="2" xr3:uid="{82C99BA2-529C-4063-AFCC-79FE587496F5}" name="Date" dataDxfId="54">
      <calculatedColumnFormula>VLOOKUP(Table5[[#This Row],[Index]],Table2[#All],COLUMN(),FALSE)</calculatedColumnFormula>
    </tableColumn>
    <tableColumn id="3" xr3:uid="{41B3830F-B422-4793-942A-B759A1F06274}" name="Total Cases" dataDxfId="53">
      <calculatedColumnFormula>VLOOKUP(Table5[[#This Row],[Index]],Table2[#All],COLUMN(),FALSE)</calculatedColumnFormula>
    </tableColumn>
    <tableColumn id="4" xr3:uid="{7849E05D-5246-42C7-BA2E-CA1AC55250C0}" name="Inbound Calls" dataDxfId="52">
      <calculatedColumnFormula>VLOOKUP(Table5[[#This Row],[Index]],Table2[#All],COLUMN(),FALSE)</calculatedColumnFormula>
    </tableColumn>
    <tableColumn id="6" xr3:uid="{34B66894-9FB5-4DF1-8E0B-62C2A6D63DA9}" name="RT" dataDxfId="51">
      <calculatedColumnFormula>VLOOKUP(Table5[[#This Row],[Index]],Table2[#All],COLUMN(),FALSE)</calculatedColumnFormula>
    </tableColumn>
    <tableColumn id="7" xr3:uid="{3C736520-31E1-4EBB-9FE2-B9A15774A789}" name="RT +1" dataDxfId="50">
      <calculatedColumnFormula>VLOOKUP(Table5[[#This Row],[Index]],Table2[#All],COLUMN(),FALSE)</calculatedColumnFormula>
    </tableColumn>
    <tableColumn id="8" xr3:uid="{8F49AD6D-3DB3-428E-B093-91F590A97E55}" name="Vol of RT+1" dataDxfId="49">
      <calculatedColumnFormula>VLOOKUP(Table5[[#This Row],[Index]],Table2[#All],COLUMN(),FALSE)</calculatedColumnFormula>
    </tableColumn>
    <tableColumn id="9" xr3:uid="{1552FB89-8DB3-44B7-BE6C-5CD1A689A5F3}" name="TL" dataDxfId="48">
      <calculatedColumnFormula>VLOOKUP(Table5[[#This Row],[Index]],Table2[#All],COLUMN(),FALSE)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B4427C-B827-4254-A4FD-54D246A18A19}" name="Table1" displayName="Table1" ref="K1:R6" totalsRowShown="0">
  <autoFilter ref="K1:R6" xr:uid="{F0B4427C-B827-4254-A4FD-54D246A18A19}"/>
  <tableColumns count="8">
    <tableColumn id="1" xr3:uid="{EB66B51F-1B60-427D-A1BD-ABA5FC0CFC3D}" name="Index" dataDxfId="47">
      <calculatedColumnFormula>A6</calculatedColumnFormula>
    </tableColumn>
    <tableColumn id="2" xr3:uid="{D11D3E28-91D6-4076-A0C5-A5262D961145}" name="Date" dataDxfId="46">
      <calculatedColumnFormula>B6</calculatedColumnFormula>
    </tableColumn>
    <tableColumn id="3" xr3:uid="{6DA0FA62-8AE7-4EBD-81E9-43E21AD2CC92}" name="Total Cases"/>
    <tableColumn id="4" xr3:uid="{1387B8B6-15D0-4C1D-8B4A-6A81ABAE3225}" name="Inbound Calls"/>
    <tableColumn id="5" xr3:uid="{455720BA-7463-499A-898C-508F9D281116}" name="RT"/>
    <tableColumn id="6" xr3:uid="{6B1EDA3E-7CD2-4C82-9E7A-BA78201E3026}" name="RT +1"/>
    <tableColumn id="7" xr3:uid="{86541B51-3406-462F-807B-2F14E8713B3D}" name="Vol of RT +1"/>
    <tableColumn id="8" xr3:uid="{40FACE5A-41A2-401A-88AB-67DE287178B1}" name="T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63E181-2B1F-4EE8-9140-21D0A8656CE4}" name="Case_Volume___Yosemite" displayName="Case_Volume___Yosemite" ref="A1:D163" tableType="queryTable" totalsRowShown="0">
  <autoFilter ref="A1:D163" xr:uid="{7D63E181-2B1F-4EE8-9140-21D0A8656CE4}">
    <filterColumn colId="0">
      <filters>
        <filter val="Client Solutions – Yosemite"/>
      </filters>
    </filterColumn>
  </autoFilter>
  <sortState xmlns:xlrd2="http://schemas.microsoft.com/office/spreadsheetml/2017/richdata2" ref="A2:D163">
    <sortCondition ref="B1:B163"/>
  </sortState>
  <tableColumns count="4">
    <tableColumn id="1" xr3:uid="{3FBDF553-9864-4D05-A8B0-7EC5DC4CDFDD}" uniqueName="1" name="Current Owner's Team" queryTableFieldId="1" dataDxfId="45"/>
    <tableColumn id="2" xr3:uid="{F233C4E8-EDE0-4BA8-9407-3E49DFA7C6B3}" uniqueName="2" name="Case Owner" queryTableFieldId="2" dataDxfId="44"/>
    <tableColumn id="3" xr3:uid="{878EA5E4-BDBC-47C4-AC2D-5AC4CAFC9545}" uniqueName="3" name="Date/Time Opened" queryTableFieldId="3" dataDxfId="43"/>
    <tableColumn id="4" xr3:uid="{5F66CCF1-54D7-42B8-AA8B-946FE9BB6ECE}" uniqueName="4" name="Account Name" queryTableFieldId="4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EF3425-A8EB-4E07-B826-7B2A4EE50B2F}" name="_1___Inbound_Calls_Last_7___Yosem" displayName="_1___Inbound_Calls_Last_7___Yosem" ref="A1:G89" tableType="queryTable" totalsRowShown="0">
  <autoFilter ref="A1:G89" xr:uid="{01EF3425-A8EB-4E07-B826-7B2A4EE50B2F}"/>
  <tableColumns count="7">
    <tableColumn id="1" xr3:uid="{665830D3-A786-443F-B1A7-70E45C0EEB20}" uniqueName="1" name="Created By: Full Name" queryTableFieldId="1" dataDxfId="41"/>
    <tableColumn id="2" xr3:uid="{573D1230-04CA-48C4-925D-E67679F84BBB}" uniqueName="2" name="Created Date" queryTableFieldId="2" dataDxfId="10"/>
    <tableColumn id="3" xr3:uid="{F69F4EAE-F432-4E76-A883-4BC670B5D289}" uniqueName="3" name="Name: Name" queryTableFieldId="3" dataDxfId="40"/>
    <tableColumn id="4" xr3:uid="{3E211D1E-8A7B-4FA4-9C99-3D486F5DD4A1}" uniqueName="4" name="Subject" queryTableFieldId="4" dataDxfId="39"/>
    <tableColumn id="5" xr3:uid="{3877DED8-9CAA-40F1-B84D-B0D82FEEB574}" uniqueName="5" name="Related To: Name" queryTableFieldId="5" dataDxfId="38"/>
    <tableColumn id="6" xr3:uid="{7EE89F43-A44B-40CA-82B2-7864508ECD88}" uniqueName="6" name="Call Duration" queryTableFieldId="6"/>
    <tableColumn id="7" xr3:uid="{2139F01E-B290-4D4A-AD4F-58C4B1FA0B54}" uniqueName="7" name="Call D in Secs" queryTableFieldId="7" dataDxfId="9">
      <calculatedColumnFormula>_1___Inbound_Calls_Last_7___Yosem[[#This Row],[Call Duration]]/60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68EA1E5-71F2-4DBB-8C7D-7F2207C535CC}" name="_2___Avg_Response_Times___Yosem" displayName="_2___Avg_Response_Times___Yosem" ref="A1:O90" tableType="queryTable" totalsRowShown="0">
  <autoFilter ref="A1:O90" xr:uid="{C68EA1E5-71F2-4DBB-8C7D-7F2207C535CC}"/>
  <tableColumns count="15">
    <tableColumn id="1" xr3:uid="{F189309D-8843-46AF-AEC1-80831A361681}" uniqueName="1" name="OMS Team" queryTableFieldId="1" dataDxfId="37"/>
    <tableColumn id="2" xr3:uid="{AF38E524-A2D3-41CA-A86E-08EA721D61B5}" uniqueName="2" name="Case Number" queryTableFieldId="2" dataDxfId="36"/>
    <tableColumn id="3" xr3:uid="{63DC42C7-5320-47D2-A0D1-D7FAF06DA5B4}" uniqueName="3" name="Transferred By" queryTableFieldId="3" dataDxfId="35"/>
    <tableColumn id="4" xr3:uid="{57D643FF-F900-446E-8E5A-CD127E9A7AD4}" uniqueName="4" name="Status" queryTableFieldId="4" dataDxfId="34"/>
    <tableColumn id="5" xr3:uid="{BC10CD53-38CA-41FE-9DED-52D22E51D06E}" uniqueName="5" name="Current Owner's Team" queryTableFieldId="5" dataDxfId="33"/>
    <tableColumn id="6" xr3:uid="{C6A67E8F-8A64-4B8E-9E4C-6360CEBE6DAD}" uniqueName="6" name="Overall Revenue Rank" queryTableFieldId="6"/>
    <tableColumn id="7" xr3:uid="{1192D6E9-40A9-44A7-8B46-F727C4867C1A}" uniqueName="7" name="Account Name" queryTableFieldId="7" dataDxfId="32"/>
    <tableColumn id="8" xr3:uid="{8DC9CA45-0739-49D6-95D9-1A542701280B}" uniqueName="8" name="Subject" queryTableFieldId="8" dataDxfId="31"/>
    <tableColumn id="9" xr3:uid="{3EE3A71E-FCFD-42DE-BE1D-D9E1363269C3}" uniqueName="9" name="Urgency" queryTableFieldId="9" dataDxfId="30"/>
    <tableColumn id="10" xr3:uid="{13119552-CC80-4C05-8C9B-F6F5A342DFB0}" uniqueName="10" name="Impact" queryTableFieldId="10" dataDxfId="29"/>
    <tableColumn id="11" xr3:uid="{B9910EF2-A167-4D34-A4F3-E88EE2D34E41}" uniqueName="11" name="Initial Response in Minutes" queryTableFieldId="11"/>
    <tableColumn id="12" xr3:uid="{7D091EDA-B568-428D-8616-2062FE5B3EA6}" uniqueName="12" name="Date/Time Opened" queryTableFieldId="12" dataDxfId="28"/>
    <tableColumn id="13" xr3:uid="{95E7B08A-7477-4C6D-9D15-DBF26A8A29B1}" uniqueName="13" name="Date Initially Responded" queryTableFieldId="13" dataDxfId="27"/>
    <tableColumn id="14" xr3:uid="{1E26A8A3-F80A-4C5F-9187-56C31FED1719}" uniqueName="14" name="Date Initially Assigned" queryTableFieldId="14" dataDxfId="26"/>
    <tableColumn id="15" xr3:uid="{47B6339B-42FD-43D3-AA32-8F18ACC4E397}" uniqueName="15" name="Case Subtype" queryTableFieldId="15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368C74-DD8C-4E3E-BEF1-C98D1AC2AA71}" name="_3___Response___1_hr___Yosem" displayName="_3___Response___1_hr___Yosem" ref="A1:P24" tableType="queryTable" totalsRowShown="0">
  <autoFilter ref="A1:P24" xr:uid="{7A368C74-DD8C-4E3E-BEF1-C98D1AC2AA71}"/>
  <tableColumns count="16">
    <tableColumn id="1" xr3:uid="{ED79C0AA-7492-48D6-9519-23EC9DD1B5BF}" uniqueName="1" name="OMS Team" queryTableFieldId="1" dataDxfId="24"/>
    <tableColumn id="2" xr3:uid="{70256650-8436-4121-9CC6-73220BEA1954}" uniqueName="2" name="Case Number" queryTableFieldId="2" dataDxfId="23"/>
    <tableColumn id="3" xr3:uid="{B03207FC-671F-4EBC-8342-F16299B292D9}" uniqueName="3" name="Case Owner" queryTableFieldId="3" dataDxfId="22"/>
    <tableColumn id="4" xr3:uid="{044D544B-A271-4EB9-967C-B609E8D730A2}" uniqueName="4" name="Status" queryTableFieldId="4" dataDxfId="21"/>
    <tableColumn id="5" xr3:uid="{D3FC0BF8-0CF0-4B19-A088-2F62731E4258}" uniqueName="5" name="Overall Revenue Rank" queryTableFieldId="5"/>
    <tableColumn id="6" xr3:uid="{C8D025B2-3908-45B4-8FC2-50C0276E7C90}" uniqueName="6" name="Account Name" queryTableFieldId="6" dataDxfId="20"/>
    <tableColumn id="7" xr3:uid="{C97108F2-9731-4F25-B155-F7F2D525DD70}" uniqueName="7" name="Contact Name" queryTableFieldId="7" dataDxfId="19"/>
    <tableColumn id="8" xr3:uid="{449369D3-CFF5-4E0C-9E93-A2E8BA346BEB}" uniqueName="8" name="Subject" queryTableFieldId="8" dataDxfId="18"/>
    <tableColumn id="9" xr3:uid="{2F0F1358-92C8-4C43-AA84-9B06AC5259A4}" uniqueName="9" name="Case Record Type" queryTableFieldId="9" dataDxfId="17"/>
    <tableColumn id="10" xr3:uid="{18FEDEE7-F9AF-44C1-BA78-16CC1CB7B936}" uniqueName="10" name="Urgency" queryTableFieldId="10" dataDxfId="16"/>
    <tableColumn id="11" xr3:uid="{3230C126-01F9-4CF2-BF8D-EC9FBA508820}" uniqueName="11" name="Initial Response in Minutes" queryTableFieldId="11"/>
    <tableColumn id="12" xr3:uid="{0F22EC7E-58AF-4714-A3CF-DA2B33794145}" uniqueName="12" name="Date/Time Opened" queryTableFieldId="12" dataDxfId="15"/>
    <tableColumn id="13" xr3:uid="{8C564DC0-3523-443B-8909-3169E3189BDF}" uniqueName="13" name="Date Initially Responded" queryTableFieldId="13" dataDxfId="14"/>
    <tableColumn id="14" xr3:uid="{A9524656-AE55-47FD-9A48-B417D31EA6D4}" uniqueName="14" name="Date Initially Assigned" queryTableFieldId="14" dataDxfId="13"/>
    <tableColumn id="15" xr3:uid="{7A9273EA-A778-4AAA-8875-3B518D12170A}" uniqueName="15" name="Case Type" queryTableFieldId="15" dataDxfId="12"/>
    <tableColumn id="16" xr3:uid="{0F20F19B-CAA0-4FAF-B19F-E53A3688681F}" uniqueName="16" name="Case Subtype" queryTableFieldId="16" dataDxf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3DF541-A3A3-4D22-AD98-D4199F10F234}" name="_4___Time_Logged___Yosem" displayName="_4___Time_Logged___Yosem" ref="A1:K160" tableType="queryTable" totalsRowShown="0">
  <autoFilter ref="A1:K160" xr:uid="{1E3DF541-A3A3-4D22-AD98-D4199F10F234}"/>
  <tableColumns count="11">
    <tableColumn id="1" xr3:uid="{48557DC5-E850-4E50-8D52-A5775B2018A2}" uniqueName="1" name="Timecard: Owner Name" queryTableFieldId="1" dataDxfId="8"/>
    <tableColumn id="2" xr3:uid="{E9913C2B-43C7-4B75-A379-E5ADD9A3CCBC}" uniqueName="2" name="Work Type" queryTableFieldId="2" dataDxfId="7"/>
    <tableColumn id="3" xr3:uid="{996E2209-A423-4227-8996-D392BA16A09D}" uniqueName="3" name="Total Time" queryTableFieldId="3"/>
    <tableColumn id="4" xr3:uid="{59E6E37D-D9EC-4C0E-9DC3-F96A91DBB7C8}" uniqueName="4" name="Owner's Team" queryTableFieldId="4" dataDxfId="6"/>
    <tableColumn id="5" xr3:uid="{02D4DE73-8942-4DA8-AA01-365700C1A3C6}" uniqueName="5" name="Case: Case Record Type" queryTableFieldId="5" dataDxfId="5"/>
    <tableColumn id="6" xr3:uid="{15721ECC-64DA-4FA8-A3DF-50C0D6493B97}" uniqueName="6" name="Case: Case Type" queryTableFieldId="6" dataDxfId="4"/>
    <tableColumn id="7" xr3:uid="{7CAFA302-3578-4AA3-9224-A9D39C7E16F9}" uniqueName="7" name="Case: Client Service Priority" queryTableFieldId="7" dataDxfId="3"/>
    <tableColumn id="8" xr3:uid="{262CDAAA-F103-49CF-8D05-EB3E296821DC}" uniqueName="8" name="Case: Total Case Time" queryTableFieldId="8"/>
    <tableColumn id="9" xr3:uid="{50199CFF-F021-4EF8-9B8C-B57F2D20AC1B}" uniqueName="9" name="Case: Urgency" queryTableFieldId="9" dataDxfId="2"/>
    <tableColumn id="10" xr3:uid="{3E9E48EA-98E0-445D-96EC-EFFDD101139B}" uniqueName="10" name="Case: Impact" queryTableFieldId="10" dataDxfId="1"/>
    <tableColumn id="11" xr3:uid="{C85617D6-4152-40F2-AC2D-E0C5D07642A6}" uniqueName="11" name="Case: Opened Date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2CC056-5A04-4E48-A659-6346F7609F1E}">
  <we:reference id="df76232d-21a6-4463-9d19-0518ac5aab5d" version="1.1.0.0" store="EXCatalog" storeType="EXCatalog"/>
  <we:alternateReferences>
    <we:reference id="WA200000556" version="1.1.0.0" store="en-US" storeType="OMEX"/>
  </we:alternateReferences>
  <we:properties>
    <we:property name="Office.AutoShowTaskpaneWithDocument" value="true"/>
    <we:property name="documentId" value="&quot;61ec5b8d-0475-49c5-8432-5717a2b617c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7BA0-B70B-4036-A5CF-25DBFD3B08EA}">
  <sheetPr codeName="Sheet1"/>
  <dimension ref="A1:AC46"/>
  <sheetViews>
    <sheetView showGridLines="0" tabSelected="1" topLeftCell="A16" workbookViewId="0">
      <selection activeCell="C46" sqref="C46"/>
    </sheetView>
  </sheetViews>
  <sheetFormatPr defaultRowHeight="15" x14ac:dyDescent="0.25"/>
  <cols>
    <col min="1" max="1" width="11" customWidth="1"/>
    <col min="2" max="2" width="11.5703125" bestFit="1" customWidth="1"/>
    <col min="3" max="3" width="13.140625" bestFit="1" customWidth="1"/>
    <col min="4" max="4" width="15.42578125" bestFit="1" customWidth="1"/>
    <col min="5" max="6" width="11" customWidth="1"/>
    <col min="7" max="7" width="12.85546875" customWidth="1"/>
    <col min="9" max="9" width="9.7109375" bestFit="1" customWidth="1"/>
    <col min="10" max="10" width="13" customWidth="1"/>
    <col min="11" max="11" width="15.140625" customWidth="1"/>
    <col min="12" max="12" width="10.42578125" style="4" customWidth="1"/>
    <col min="13" max="13" width="13.140625" bestFit="1" customWidth="1"/>
    <col min="14" max="14" width="15.140625" customWidth="1"/>
    <col min="15" max="15" width="13" customWidth="1"/>
    <col min="18" max="18" width="13" customWidth="1"/>
  </cols>
  <sheetData>
    <row r="1" spans="1:29" x14ac:dyDescent="0.25">
      <c r="A1" t="s">
        <v>16</v>
      </c>
      <c r="B1" t="s">
        <v>7</v>
      </c>
      <c r="C1" t="s">
        <v>0</v>
      </c>
      <c r="D1" t="s">
        <v>17</v>
      </c>
      <c r="E1" t="s">
        <v>18</v>
      </c>
      <c r="F1" t="s">
        <v>20</v>
      </c>
      <c r="G1" t="s">
        <v>19</v>
      </c>
      <c r="H1" t="s">
        <v>21</v>
      </c>
      <c r="K1" s="11"/>
      <c r="L1" s="12"/>
      <c r="M1" s="11"/>
      <c r="N1" s="11"/>
      <c r="O1" s="11"/>
      <c r="P1" s="11"/>
      <c r="Q1" s="11"/>
      <c r="R1" s="11"/>
      <c r="S1" s="11"/>
      <c r="V1" s="11"/>
      <c r="W1" s="11"/>
      <c r="X1" s="11"/>
      <c r="Y1" s="11"/>
      <c r="Z1" s="11"/>
      <c r="AA1" s="11"/>
      <c r="AB1" s="11"/>
      <c r="AC1" s="11"/>
    </row>
    <row r="2" spans="1:29" x14ac:dyDescent="0.25">
      <c r="A2" s="1">
        <f t="shared" ref="A2:A27" si="0">ROW()-1</f>
        <v>1</v>
      </c>
      <c r="B2" s="5">
        <v>44679</v>
      </c>
      <c r="C2" s="1">
        <v>150</v>
      </c>
      <c r="D2" s="1">
        <v>203</v>
      </c>
      <c r="E2" s="1">
        <v>44.54</v>
      </c>
      <c r="F2" s="1">
        <v>106.35</v>
      </c>
      <c r="G2" s="1">
        <v>21</v>
      </c>
      <c r="H2" s="1">
        <v>111.17</v>
      </c>
    </row>
    <row r="3" spans="1:29" x14ac:dyDescent="0.25">
      <c r="A3" s="1">
        <f t="shared" si="0"/>
        <v>2</v>
      </c>
      <c r="B3" s="5">
        <v>44686</v>
      </c>
      <c r="C3" s="1">
        <v>163</v>
      </c>
      <c r="D3" s="1">
        <v>179</v>
      </c>
      <c r="E3" s="1">
        <v>52.73</v>
      </c>
      <c r="F3" s="1">
        <v>111.59</v>
      </c>
      <c r="G3" s="1">
        <v>33</v>
      </c>
      <c r="H3" s="1">
        <v>128.5</v>
      </c>
    </row>
    <row r="4" spans="1:29" x14ac:dyDescent="0.25">
      <c r="A4" s="1">
        <f t="shared" si="0"/>
        <v>3</v>
      </c>
      <c r="B4" s="5">
        <v>44693</v>
      </c>
      <c r="C4" s="1">
        <v>163</v>
      </c>
      <c r="D4" s="1">
        <v>187</v>
      </c>
      <c r="E4" s="1">
        <v>55.71</v>
      </c>
      <c r="F4" s="1">
        <v>118.03</v>
      </c>
      <c r="G4" s="1">
        <v>34</v>
      </c>
      <c r="H4" s="1">
        <v>80.37</v>
      </c>
    </row>
    <row r="5" spans="1:29" x14ac:dyDescent="0.25">
      <c r="A5" s="1">
        <f t="shared" si="0"/>
        <v>4</v>
      </c>
      <c r="B5" s="5">
        <v>44700</v>
      </c>
      <c r="C5" s="1">
        <v>130</v>
      </c>
      <c r="D5" s="1">
        <v>135</v>
      </c>
      <c r="E5" s="1">
        <v>48.84</v>
      </c>
      <c r="F5" s="1">
        <v>122.78</v>
      </c>
      <c r="G5" s="1">
        <v>19</v>
      </c>
      <c r="H5" s="1">
        <v>72.25</v>
      </c>
    </row>
    <row r="6" spans="1:29" x14ac:dyDescent="0.25">
      <c r="A6" s="1">
        <f t="shared" si="0"/>
        <v>5</v>
      </c>
      <c r="B6" s="5">
        <v>44707</v>
      </c>
      <c r="C6" s="1">
        <v>110</v>
      </c>
      <c r="D6" s="1">
        <v>137</v>
      </c>
      <c r="E6" s="1">
        <v>43.73</v>
      </c>
      <c r="F6" s="1">
        <v>118.36</v>
      </c>
      <c r="G6" s="1">
        <v>13</v>
      </c>
      <c r="H6" s="1">
        <v>91.6</v>
      </c>
    </row>
    <row r="7" spans="1:29" x14ac:dyDescent="0.25">
      <c r="A7" s="1">
        <f t="shared" si="0"/>
        <v>6</v>
      </c>
      <c r="B7" s="5">
        <v>44714</v>
      </c>
      <c r="C7" s="1">
        <v>125</v>
      </c>
      <c r="D7" s="1">
        <v>149</v>
      </c>
      <c r="E7" s="1">
        <v>53.09</v>
      </c>
      <c r="F7" s="1">
        <v>124.76</v>
      </c>
      <c r="G7" s="1">
        <v>21</v>
      </c>
      <c r="H7" s="1">
        <v>66.11</v>
      </c>
    </row>
    <row r="8" spans="1:29" x14ac:dyDescent="0.25">
      <c r="A8" s="1">
        <f t="shared" si="0"/>
        <v>7</v>
      </c>
      <c r="B8" s="5">
        <v>44721</v>
      </c>
      <c r="C8" s="1">
        <v>118</v>
      </c>
      <c r="D8" s="1">
        <v>136</v>
      </c>
      <c r="E8" s="1">
        <v>64.47</v>
      </c>
      <c r="F8" s="1">
        <v>143.63</v>
      </c>
      <c r="G8" s="1">
        <v>24</v>
      </c>
      <c r="H8" s="1">
        <v>67.47</v>
      </c>
    </row>
    <row r="9" spans="1:29" x14ac:dyDescent="0.25">
      <c r="A9" s="1">
        <f t="shared" si="0"/>
        <v>8</v>
      </c>
      <c r="B9" s="5">
        <v>44728</v>
      </c>
      <c r="C9" s="1">
        <v>106</v>
      </c>
      <c r="D9" s="1">
        <v>128</v>
      </c>
      <c r="E9" s="1">
        <v>57.59</v>
      </c>
      <c r="F9" s="1">
        <v>135.74</v>
      </c>
      <c r="G9" s="2">
        <v>27</v>
      </c>
      <c r="H9" s="1">
        <v>56.68</v>
      </c>
    </row>
    <row r="10" spans="1:29" x14ac:dyDescent="0.25">
      <c r="A10" s="1">
        <f t="shared" si="0"/>
        <v>9</v>
      </c>
      <c r="B10" s="5">
        <v>44735</v>
      </c>
      <c r="C10" s="1">
        <v>107</v>
      </c>
      <c r="D10" s="1">
        <v>114</v>
      </c>
      <c r="E10" s="1">
        <v>51.21</v>
      </c>
      <c r="F10" s="1">
        <v>127.78</v>
      </c>
      <c r="G10" s="2">
        <v>18</v>
      </c>
      <c r="H10" s="1">
        <v>52.39</v>
      </c>
    </row>
    <row r="11" spans="1:29" x14ac:dyDescent="0.25">
      <c r="A11" s="1">
        <f t="shared" si="0"/>
        <v>10</v>
      </c>
      <c r="B11" s="5">
        <v>44742</v>
      </c>
      <c r="C11" s="1">
        <v>153</v>
      </c>
      <c r="D11" s="1">
        <v>126</v>
      </c>
      <c r="E11" s="1">
        <v>47.08</v>
      </c>
      <c r="F11" s="1">
        <v>98.87</v>
      </c>
      <c r="G11" s="2">
        <v>30</v>
      </c>
      <c r="H11" s="1">
        <v>83.74</v>
      </c>
    </row>
    <row r="12" spans="1:29" x14ac:dyDescent="0.25">
      <c r="A12" s="1">
        <f t="shared" si="0"/>
        <v>11</v>
      </c>
      <c r="B12" s="5">
        <v>44749</v>
      </c>
      <c r="C12" s="1">
        <v>123</v>
      </c>
      <c r="D12" s="1">
        <v>139</v>
      </c>
      <c r="E12" s="1">
        <v>52.05</v>
      </c>
      <c r="F12" s="1">
        <v>147.79</v>
      </c>
      <c r="G12" s="2">
        <v>19</v>
      </c>
      <c r="H12" s="3">
        <v>87.73</v>
      </c>
    </row>
    <row r="13" spans="1:29" x14ac:dyDescent="0.25">
      <c r="A13" s="1">
        <f t="shared" si="0"/>
        <v>12</v>
      </c>
      <c r="B13" s="5">
        <v>44756</v>
      </c>
      <c r="C13" s="1">
        <v>105</v>
      </c>
      <c r="D13" s="1">
        <v>102</v>
      </c>
      <c r="E13" s="1">
        <v>47.07</v>
      </c>
      <c r="F13" s="1">
        <v>108.8</v>
      </c>
      <c r="G13" s="2">
        <v>15</v>
      </c>
      <c r="H13" s="3">
        <v>60.09</v>
      </c>
    </row>
    <row r="14" spans="1:29" x14ac:dyDescent="0.25">
      <c r="A14" s="1">
        <f t="shared" si="0"/>
        <v>13</v>
      </c>
      <c r="B14" s="5">
        <v>44763</v>
      </c>
      <c r="C14" s="1">
        <v>120</v>
      </c>
      <c r="D14" s="1">
        <v>119</v>
      </c>
      <c r="E14" s="1">
        <v>60.39</v>
      </c>
      <c r="F14" s="1">
        <v>125</v>
      </c>
      <c r="G14" s="2">
        <v>23</v>
      </c>
      <c r="H14" s="3">
        <v>72</v>
      </c>
    </row>
    <row r="15" spans="1:29" x14ac:dyDescent="0.25">
      <c r="A15" s="1">
        <f t="shared" si="0"/>
        <v>14</v>
      </c>
      <c r="B15" s="5">
        <v>44770</v>
      </c>
      <c r="C15" s="1">
        <v>131</v>
      </c>
      <c r="D15" s="1">
        <v>127</v>
      </c>
      <c r="E15" s="1">
        <v>51.69</v>
      </c>
      <c r="F15" s="1">
        <v>139.84</v>
      </c>
      <c r="G15" s="2">
        <v>19</v>
      </c>
      <c r="H15" s="3">
        <v>69.790000000000006</v>
      </c>
    </row>
    <row r="16" spans="1:29" x14ac:dyDescent="0.25">
      <c r="A16" s="1">
        <f t="shared" si="0"/>
        <v>15</v>
      </c>
      <c r="B16" s="5">
        <v>44777</v>
      </c>
      <c r="C16" s="1">
        <v>120</v>
      </c>
      <c r="D16" s="1">
        <v>128</v>
      </c>
      <c r="E16" s="1">
        <v>71.599999999999994</v>
      </c>
      <c r="F16" s="1">
        <v>160.36000000000001</v>
      </c>
      <c r="G16" s="1">
        <v>22</v>
      </c>
      <c r="H16" s="3">
        <v>72.040000000000006</v>
      </c>
    </row>
    <row r="17" spans="1:8" x14ac:dyDescent="0.25">
      <c r="A17" s="1">
        <f t="shared" si="0"/>
        <v>16</v>
      </c>
      <c r="B17" s="5">
        <v>44784</v>
      </c>
      <c r="C17" s="1">
        <v>114</v>
      </c>
      <c r="D17" s="1">
        <v>136</v>
      </c>
      <c r="E17" s="1">
        <v>67.59</v>
      </c>
      <c r="F17" s="1">
        <v>161.38999999999999</v>
      </c>
      <c r="G17" s="1">
        <v>18</v>
      </c>
      <c r="H17" s="1">
        <v>53.31</v>
      </c>
    </row>
    <row r="18" spans="1:8" x14ac:dyDescent="0.25">
      <c r="A18" s="1">
        <f t="shared" si="0"/>
        <v>17</v>
      </c>
      <c r="B18" s="5">
        <v>44791</v>
      </c>
      <c r="C18" s="1">
        <v>127</v>
      </c>
      <c r="D18" s="1">
        <v>123</v>
      </c>
      <c r="E18" s="1">
        <v>60.39</v>
      </c>
      <c r="F18" s="1">
        <v>116.31</v>
      </c>
      <c r="G18" s="1">
        <v>26</v>
      </c>
      <c r="H18" s="1">
        <v>65</v>
      </c>
    </row>
    <row r="19" spans="1:8" x14ac:dyDescent="0.25">
      <c r="A19" s="1">
        <f t="shared" si="0"/>
        <v>18</v>
      </c>
      <c r="B19" s="5">
        <v>44798</v>
      </c>
      <c r="C19" s="1">
        <v>123</v>
      </c>
      <c r="D19" s="1">
        <v>117</v>
      </c>
      <c r="E19" s="1">
        <v>58.22</v>
      </c>
      <c r="F19" s="1">
        <v>120.03</v>
      </c>
      <c r="G19" s="1">
        <v>29</v>
      </c>
      <c r="H19" s="1">
        <v>72.05</v>
      </c>
    </row>
    <row r="20" spans="1:8" x14ac:dyDescent="0.25">
      <c r="A20" s="1">
        <f t="shared" si="0"/>
        <v>19</v>
      </c>
      <c r="B20" s="5">
        <v>44805</v>
      </c>
      <c r="C20" s="6">
        <v>116</v>
      </c>
      <c r="D20" s="6">
        <v>113</v>
      </c>
      <c r="E20" s="6">
        <v>51.1</v>
      </c>
      <c r="F20" s="6">
        <v>131</v>
      </c>
      <c r="G20" s="6">
        <v>15</v>
      </c>
      <c r="H20" s="6">
        <v>80.31</v>
      </c>
    </row>
    <row r="21" spans="1:8" x14ac:dyDescent="0.25">
      <c r="A21" s="1">
        <f t="shared" si="0"/>
        <v>20</v>
      </c>
      <c r="B21" s="5">
        <v>44812</v>
      </c>
      <c r="C21" s="6">
        <v>118</v>
      </c>
      <c r="D21" s="6">
        <v>112</v>
      </c>
      <c r="E21" s="6">
        <v>52.41</v>
      </c>
      <c r="F21" s="6">
        <v>134.05000000000001</v>
      </c>
      <c r="G21" s="6">
        <v>19</v>
      </c>
      <c r="H21" s="6">
        <v>62.42</v>
      </c>
    </row>
    <row r="22" spans="1:8" x14ac:dyDescent="0.25">
      <c r="A22" s="1">
        <f t="shared" si="0"/>
        <v>21</v>
      </c>
      <c r="B22" s="5">
        <v>44819</v>
      </c>
      <c r="C22" s="1">
        <v>153</v>
      </c>
      <c r="D22" s="1">
        <v>145</v>
      </c>
      <c r="E22" s="3">
        <v>56.65</v>
      </c>
      <c r="F22" s="3">
        <v>136.44999999999999</v>
      </c>
      <c r="G22" s="1">
        <v>22</v>
      </c>
      <c r="H22" s="1">
        <v>77.81</v>
      </c>
    </row>
    <row r="23" spans="1:8" x14ac:dyDescent="0.25">
      <c r="A23" s="1">
        <f t="shared" si="0"/>
        <v>22</v>
      </c>
      <c r="B23" s="5">
        <v>44826</v>
      </c>
      <c r="C23" s="1">
        <v>152</v>
      </c>
      <c r="D23" s="1">
        <v>144</v>
      </c>
      <c r="E23" s="3">
        <v>61.63</v>
      </c>
      <c r="F23" s="3">
        <v>133</v>
      </c>
      <c r="G23" s="1">
        <v>30</v>
      </c>
      <c r="H23" s="1">
        <v>81.510000000000005</v>
      </c>
    </row>
    <row r="24" spans="1:8" x14ac:dyDescent="0.25">
      <c r="A24" s="1">
        <f t="shared" si="0"/>
        <v>23</v>
      </c>
      <c r="B24" s="5">
        <v>44833</v>
      </c>
      <c r="C24" s="1">
        <v>171</v>
      </c>
      <c r="D24" s="1">
        <v>201</v>
      </c>
      <c r="E24" s="3">
        <v>53.09</v>
      </c>
      <c r="F24" s="3">
        <v>112.94</v>
      </c>
      <c r="G24" s="1">
        <v>31</v>
      </c>
      <c r="H24" s="1">
        <v>84.99</v>
      </c>
    </row>
    <row r="25" spans="1:8" x14ac:dyDescent="0.25">
      <c r="A25" s="1">
        <f t="shared" si="0"/>
        <v>24</v>
      </c>
      <c r="B25" s="5">
        <v>44840</v>
      </c>
      <c r="C25" s="1">
        <v>167</v>
      </c>
      <c r="D25" s="1">
        <v>145</v>
      </c>
      <c r="E25" s="1">
        <v>55.74</v>
      </c>
      <c r="F25" s="1">
        <v>133.59</v>
      </c>
      <c r="G25" s="1">
        <v>28</v>
      </c>
      <c r="H25" s="1">
        <v>84.99</v>
      </c>
    </row>
    <row r="26" spans="1:8" x14ac:dyDescent="0.25">
      <c r="A26" s="1">
        <f>ROW()-1</f>
        <v>25</v>
      </c>
      <c r="B26" s="5">
        <v>44847</v>
      </c>
      <c r="C26" s="1">
        <v>158</v>
      </c>
      <c r="D26" s="1">
        <v>137</v>
      </c>
      <c r="E26" s="1">
        <v>46.53</v>
      </c>
      <c r="F26" s="1">
        <v>124.36</v>
      </c>
      <c r="G26" s="1">
        <v>22</v>
      </c>
      <c r="H26" s="1">
        <v>70.010000000000005</v>
      </c>
    </row>
    <row r="27" spans="1:8" x14ac:dyDescent="0.25">
      <c r="A27" s="1">
        <f t="shared" si="0"/>
        <v>26</v>
      </c>
      <c r="B27" s="5">
        <v>44854</v>
      </c>
      <c r="C27" s="1">
        <v>126</v>
      </c>
      <c r="D27" s="1">
        <v>82</v>
      </c>
      <c r="E27" s="1">
        <v>55.87</v>
      </c>
      <c r="F27" s="1">
        <v>147.58000000000001</v>
      </c>
      <c r="G27" s="1">
        <v>20</v>
      </c>
      <c r="H27" s="1">
        <v>74.83</v>
      </c>
    </row>
    <row r="28" spans="1:8" x14ac:dyDescent="0.25">
      <c r="A28" s="1">
        <f t="shared" ref="A28:A34" si="1">ROW()-1</f>
        <v>27</v>
      </c>
      <c r="B28" s="5">
        <v>44861</v>
      </c>
      <c r="C28" s="1">
        <v>146</v>
      </c>
      <c r="D28" s="1">
        <v>121</v>
      </c>
      <c r="E28" s="1">
        <v>49.75</v>
      </c>
      <c r="F28" s="1">
        <v>142</v>
      </c>
      <c r="G28" s="1">
        <v>20</v>
      </c>
      <c r="H28" s="1">
        <v>49.65</v>
      </c>
    </row>
    <row r="29" spans="1:8" x14ac:dyDescent="0.25">
      <c r="A29" s="1">
        <f t="shared" si="1"/>
        <v>28</v>
      </c>
      <c r="B29" s="5">
        <v>44868</v>
      </c>
      <c r="C29" s="1">
        <f>'Case Volume - Yosemite'!J1</f>
        <v>162</v>
      </c>
      <c r="D29" s="1">
        <f>'1 - Inbound Calls Last 7 - Yose'!I1</f>
        <v>89</v>
      </c>
      <c r="E29" s="3">
        <f>'2 - Avg Response Times - Yosem'!R1</f>
        <v>46.213483146067418</v>
      </c>
      <c r="F29" s="3">
        <f>'3 - Response &gt; 1 hr - Yosem'!S2</f>
        <v>123.65217391304348</v>
      </c>
      <c r="G29" s="1">
        <f>'3 - Response &gt; 1 hr - Yosem'!S1</f>
        <v>24</v>
      </c>
      <c r="H29" s="1">
        <f>'4 - Time Logged - Yosem'!N3</f>
        <v>89.59</v>
      </c>
    </row>
    <row r="30" spans="1:8" x14ac:dyDescent="0.25">
      <c r="A30" s="1">
        <f t="shared" si="1"/>
        <v>29</v>
      </c>
      <c r="B30" s="5">
        <v>44875</v>
      </c>
      <c r="C30" s="1">
        <v>139</v>
      </c>
      <c r="D30" s="1">
        <v>131</v>
      </c>
      <c r="E30" s="3">
        <v>49.32</v>
      </c>
      <c r="F30" s="3">
        <v>136.25</v>
      </c>
      <c r="G30" s="1">
        <v>20</v>
      </c>
      <c r="H30" s="1">
        <v>41.68</v>
      </c>
    </row>
    <row r="31" spans="1:8" x14ac:dyDescent="0.25">
      <c r="A31" s="1">
        <f t="shared" si="1"/>
        <v>30</v>
      </c>
      <c r="B31" s="5">
        <v>44882</v>
      </c>
      <c r="C31" s="1">
        <v>156</v>
      </c>
      <c r="D31" s="1">
        <v>146</v>
      </c>
      <c r="E31" s="3">
        <v>54.23</v>
      </c>
      <c r="F31" s="3">
        <v>133.12</v>
      </c>
      <c r="G31" s="1">
        <v>26</v>
      </c>
      <c r="H31" s="1">
        <v>67.62</v>
      </c>
    </row>
    <row r="32" spans="1:8" x14ac:dyDescent="0.25">
      <c r="A32" s="1">
        <f t="shared" si="1"/>
        <v>31</v>
      </c>
      <c r="B32" s="5">
        <v>44889</v>
      </c>
      <c r="C32" s="1">
        <v>100</v>
      </c>
      <c r="D32" s="1">
        <v>108</v>
      </c>
      <c r="E32" s="3">
        <v>70.89</v>
      </c>
      <c r="F32" s="3">
        <v>189.54</v>
      </c>
      <c r="G32" s="1">
        <v>13</v>
      </c>
      <c r="H32" s="1">
        <v>60.85</v>
      </c>
    </row>
    <row r="33" spans="1:8" x14ac:dyDescent="0.25">
      <c r="A33" s="1">
        <f t="shared" si="1"/>
        <v>32</v>
      </c>
      <c r="B33" s="5">
        <v>44896</v>
      </c>
      <c r="C33" s="1">
        <v>167</v>
      </c>
      <c r="D33" s="1">
        <v>126</v>
      </c>
      <c r="E33" s="3">
        <v>42.42</v>
      </c>
      <c r="F33" s="3">
        <v>124.37</v>
      </c>
      <c r="G33" s="1">
        <v>19</v>
      </c>
      <c r="H33" s="1">
        <v>73.23</v>
      </c>
    </row>
    <row r="34" spans="1:8" x14ac:dyDescent="0.25">
      <c r="A34" s="1">
        <f t="shared" si="1"/>
        <v>33</v>
      </c>
      <c r="B34" s="5">
        <v>44904</v>
      </c>
      <c r="C34" s="1">
        <v>148</v>
      </c>
      <c r="D34" s="1">
        <v>115</v>
      </c>
      <c r="E34" s="3">
        <v>40.56</v>
      </c>
      <c r="F34" s="3">
        <v>114.3</v>
      </c>
      <c r="G34" s="1">
        <v>20</v>
      </c>
      <c r="H34" s="1">
        <v>46.2</v>
      </c>
    </row>
    <row r="35" spans="1:8" x14ac:dyDescent="0.25">
      <c r="A35" s="1">
        <f t="shared" ref="A35:A41" si="2">ROW()-1</f>
        <v>34</v>
      </c>
      <c r="B35" s="5">
        <v>44911</v>
      </c>
      <c r="C35" s="1">
        <v>124</v>
      </c>
      <c r="D35" s="1">
        <v>83</v>
      </c>
      <c r="E35" s="3">
        <v>47.07</v>
      </c>
      <c r="F35" s="3">
        <v>114.4</v>
      </c>
      <c r="G35" s="1">
        <v>16</v>
      </c>
      <c r="H35" s="1">
        <v>78.11</v>
      </c>
    </row>
    <row r="36" spans="1:8" x14ac:dyDescent="0.25">
      <c r="A36" s="1">
        <f t="shared" si="2"/>
        <v>35</v>
      </c>
      <c r="B36" s="5">
        <v>44918</v>
      </c>
      <c r="C36" s="1">
        <v>134</v>
      </c>
      <c r="D36" s="1">
        <v>115</v>
      </c>
      <c r="E36" s="1">
        <v>55.14</v>
      </c>
      <c r="F36" s="1">
        <v>124.77</v>
      </c>
      <c r="G36" s="1">
        <v>23</v>
      </c>
      <c r="H36" s="1">
        <v>53.56</v>
      </c>
    </row>
    <row r="37" spans="1:8" x14ac:dyDescent="0.25">
      <c r="A37" s="1">
        <f t="shared" si="2"/>
        <v>36</v>
      </c>
      <c r="B37" s="5">
        <v>44925</v>
      </c>
      <c r="C37" s="1">
        <v>105</v>
      </c>
      <c r="D37" s="1">
        <v>57</v>
      </c>
      <c r="E37" s="1">
        <v>48.23</v>
      </c>
      <c r="F37" s="1">
        <v>103.92</v>
      </c>
      <c r="G37" s="1">
        <v>14</v>
      </c>
      <c r="H37" s="1">
        <v>31.28</v>
      </c>
    </row>
    <row r="38" spans="1:8" x14ac:dyDescent="0.25">
      <c r="A38" s="1">
        <f t="shared" si="2"/>
        <v>37</v>
      </c>
      <c r="B38" s="5">
        <v>44932</v>
      </c>
      <c r="C38" s="1">
        <v>117</v>
      </c>
      <c r="D38" s="1">
        <v>109</v>
      </c>
      <c r="E38" s="1">
        <v>56.7</v>
      </c>
      <c r="F38" s="1">
        <v>105</v>
      </c>
      <c r="G38" s="1">
        <v>24</v>
      </c>
      <c r="H38" s="1">
        <v>83.69</v>
      </c>
    </row>
    <row r="39" spans="1:8" x14ac:dyDescent="0.25">
      <c r="A39" s="1">
        <f t="shared" si="2"/>
        <v>38</v>
      </c>
      <c r="B39" s="5">
        <v>44939</v>
      </c>
      <c r="C39" s="1">
        <v>141</v>
      </c>
      <c r="D39" s="1">
        <v>126</v>
      </c>
      <c r="E39" s="1">
        <v>53.65</v>
      </c>
      <c r="F39" s="3">
        <f>AVERAGE(F2:F38)</f>
        <v>128.42438307873093</v>
      </c>
      <c r="G39" s="15">
        <v>22</v>
      </c>
      <c r="H39" s="1">
        <v>114.28</v>
      </c>
    </row>
    <row r="40" spans="1:8" x14ac:dyDescent="0.25">
      <c r="A40" s="1">
        <f t="shared" si="2"/>
        <v>39</v>
      </c>
      <c r="B40" s="5">
        <v>44946</v>
      </c>
      <c r="C40" s="1">
        <v>139</v>
      </c>
      <c r="D40" s="1">
        <v>94</v>
      </c>
      <c r="E40" s="3">
        <v>39.96</v>
      </c>
      <c r="F40" s="1">
        <v>111.46</v>
      </c>
      <c r="G40" s="15">
        <v>13</v>
      </c>
      <c r="H40" s="1">
        <v>51.25</v>
      </c>
    </row>
    <row r="41" spans="1:8" x14ac:dyDescent="0.25">
      <c r="A41" s="1">
        <f t="shared" si="2"/>
        <v>40</v>
      </c>
      <c r="B41" s="5">
        <v>44953</v>
      </c>
      <c r="C41" s="1">
        <v>147</v>
      </c>
      <c r="D41" s="1">
        <v>96</v>
      </c>
      <c r="E41" s="1">
        <v>40.36</v>
      </c>
      <c r="F41" s="1">
        <v>112.71</v>
      </c>
      <c r="G41" s="1">
        <v>18</v>
      </c>
      <c r="H41" s="1">
        <v>78.62</v>
      </c>
    </row>
    <row r="42" spans="1:8" x14ac:dyDescent="0.25">
      <c r="A42" s="1">
        <f>ROW()-1</f>
        <v>41</v>
      </c>
      <c r="B42" s="5">
        <v>44960</v>
      </c>
      <c r="C42" s="1">
        <v>155</v>
      </c>
      <c r="D42" s="1">
        <v>106</v>
      </c>
      <c r="E42" s="3">
        <v>43.99</v>
      </c>
      <c r="F42" s="3">
        <v>124.32</v>
      </c>
      <c r="G42" s="1">
        <v>19</v>
      </c>
      <c r="H42" s="1">
        <v>94.36</v>
      </c>
    </row>
    <row r="43" spans="1:8" x14ac:dyDescent="0.25">
      <c r="A43" s="1">
        <f>ROW()-1</f>
        <v>42</v>
      </c>
      <c r="B43" s="5">
        <v>44967</v>
      </c>
      <c r="C43" s="1">
        <v>115</v>
      </c>
      <c r="D43" s="1">
        <v>125</v>
      </c>
      <c r="E43" s="3">
        <f>AVERAGE(E1:E41)</f>
        <v>52.887587078651698</v>
      </c>
      <c r="F43" s="3">
        <f>AVERAGE(F2:F42)</f>
        <v>127.52723309736037</v>
      </c>
      <c r="G43" s="15">
        <v>21</v>
      </c>
      <c r="H43" s="3">
        <f>AVERAGE(H2:H42)</f>
        <v>73.003170731707314</v>
      </c>
    </row>
    <row r="44" spans="1:8" x14ac:dyDescent="0.25">
      <c r="A44" s="1">
        <f>ROW()-1</f>
        <v>43</v>
      </c>
      <c r="B44" s="5">
        <v>44974</v>
      </c>
      <c r="C44" s="1">
        <v>131</v>
      </c>
      <c r="D44" s="1">
        <v>97</v>
      </c>
      <c r="E44" s="3">
        <f>AVERAGE(E2:E42)</f>
        <v>52.670572759660189</v>
      </c>
      <c r="F44" s="3">
        <f>AVERAGE(F3:F43)</f>
        <v>128.04375097778379</v>
      </c>
      <c r="G44" s="15">
        <v>22</v>
      </c>
      <c r="H44" s="3">
        <f t="shared" ref="H44" si="3">AVERAGE(H3:H43)</f>
        <v>72.07227245687092</v>
      </c>
    </row>
    <row r="45" spans="1:8" x14ac:dyDescent="0.25">
      <c r="A45" s="1">
        <v>44</v>
      </c>
      <c r="B45" s="5">
        <v>44981</v>
      </c>
      <c r="C45" s="1">
        <v>136</v>
      </c>
      <c r="D45" s="1">
        <v>69</v>
      </c>
      <c r="E45" s="3">
        <v>43.42</v>
      </c>
      <c r="F45" s="3">
        <v>112.89</v>
      </c>
      <c r="G45" s="1">
        <v>19</v>
      </c>
      <c r="H45" s="1">
        <v>56.33</v>
      </c>
    </row>
    <row r="46" spans="1:8" x14ac:dyDescent="0.25">
      <c r="A46" s="1">
        <f>ROW()-1</f>
        <v>45</v>
      </c>
      <c r="B46" s="5">
        <f>B45+7</f>
        <v>44988</v>
      </c>
      <c r="C46" s="1">
        <f>'Case Volume - Yosemite'!J1</f>
        <v>162</v>
      </c>
      <c r="D46" s="1">
        <f>'1 - Inbound Calls Last 7 - Yose'!I1</f>
        <v>89</v>
      </c>
      <c r="E46" s="3">
        <f>'2 - Avg Response Times - Yosem'!R1</f>
        <v>46.213483146067418</v>
      </c>
      <c r="F46" s="3">
        <f>'3 - Response &gt; 1 hr - Yosem'!S2</f>
        <v>123.65217391304348</v>
      </c>
      <c r="G46" s="1">
        <f>'3 - Response &gt; 1 hr - Yosem'!S1</f>
        <v>24</v>
      </c>
      <c r="H46" s="1">
        <f>'4 - Time Logged - Yosem'!N3</f>
        <v>89.59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58999-31B8-4C95-8918-BA1034862D8D}">
  <sheetPr codeName="Sheet3"/>
  <dimension ref="A1:R6"/>
  <sheetViews>
    <sheetView workbookViewId="0">
      <selection activeCell="F3" sqref="F3"/>
    </sheetView>
  </sheetViews>
  <sheetFormatPr defaultRowHeight="15" x14ac:dyDescent="0.25"/>
  <cols>
    <col min="1" max="1" width="11.5703125" customWidth="1"/>
    <col min="2" max="2" width="10.7109375" style="4" bestFit="1" customWidth="1"/>
    <col min="3" max="3" width="13" customWidth="1"/>
    <col min="4" max="4" width="15.140625" customWidth="1"/>
    <col min="7" max="7" width="13" customWidth="1"/>
    <col min="11" max="11" width="11" customWidth="1"/>
    <col min="12" max="12" width="10.7109375" bestFit="1" customWidth="1"/>
    <col min="13" max="13" width="13.140625" bestFit="1" customWidth="1"/>
    <col min="14" max="14" width="15.42578125" bestFit="1" customWidth="1"/>
    <col min="15" max="15" width="10.85546875" customWidth="1"/>
    <col min="16" max="16" width="10.5703125" customWidth="1"/>
    <col min="17" max="17" width="13.5703125" customWidth="1"/>
    <col min="18" max="18" width="11.85546875" customWidth="1"/>
  </cols>
  <sheetData>
    <row r="1" spans="1:18" x14ac:dyDescent="0.25">
      <c r="A1" s="9" t="s">
        <v>16</v>
      </c>
      <c r="B1" s="10" t="s">
        <v>7</v>
      </c>
      <c r="C1" s="7" t="s">
        <v>0</v>
      </c>
      <c r="D1" s="7" t="s">
        <v>17</v>
      </c>
      <c r="E1" s="7" t="s">
        <v>18</v>
      </c>
      <c r="F1" s="7" t="s">
        <v>20</v>
      </c>
      <c r="G1" s="7" t="s">
        <v>19</v>
      </c>
      <c r="H1" s="8" t="s">
        <v>21</v>
      </c>
      <c r="K1" t="s">
        <v>16</v>
      </c>
      <c r="L1" t="s">
        <v>7</v>
      </c>
      <c r="M1" t="s">
        <v>0</v>
      </c>
      <c r="N1" t="s">
        <v>17</v>
      </c>
      <c r="O1" t="s">
        <v>18</v>
      </c>
      <c r="P1" t="s">
        <v>20</v>
      </c>
      <c r="Q1" t="s">
        <v>89</v>
      </c>
      <c r="R1" t="s">
        <v>21</v>
      </c>
    </row>
    <row r="2" spans="1:18" x14ac:dyDescent="0.25">
      <c r="A2">
        <f>MIN(Table2[Index])+(ROWS(Table2[])-ROW())+1</f>
        <v>45</v>
      </c>
      <c r="B2" s="4">
        <f>VLOOKUP(Table5[[#This Row],[Index]],Table2[#All],COLUMN(),FALSE)</f>
        <v>44988</v>
      </c>
      <c r="C2">
        <f>VLOOKUP(Table5[[#This Row],[Index]],Table2[#All],COLUMN(),FALSE)</f>
        <v>162</v>
      </c>
      <c r="D2">
        <f>VLOOKUP(Table5[[#This Row],[Index]],Table2[#All],COLUMN(),FALSE)</f>
        <v>89</v>
      </c>
      <c r="E2" s="13">
        <f>VLOOKUP(Table5[[#This Row],[Index]],Table2[#All],COLUMN(),FALSE)</f>
        <v>46.213483146067418</v>
      </c>
      <c r="F2" s="13">
        <f>VLOOKUP(Table5[[#This Row],[Index]],Table2[#All],COLUMN(),FALSE)</f>
        <v>123.65217391304348</v>
      </c>
      <c r="G2">
        <f>VLOOKUP(Table5[[#This Row],[Index]],Table2[#All],COLUMN(),FALSE)</f>
        <v>24</v>
      </c>
      <c r="H2">
        <f>VLOOKUP(Table5[[#This Row],[Index]],Table2[#All],COLUMN(),FALSE)</f>
        <v>89.59</v>
      </c>
      <c r="K2">
        <f t="shared" ref="K2" si="0">A6</f>
        <v>41</v>
      </c>
      <c r="L2" s="4">
        <f t="shared" ref="L2" si="1">B6</f>
        <v>44960</v>
      </c>
      <c r="M2">
        <f t="shared" ref="M2:R2" si="2">C6</f>
        <v>155</v>
      </c>
      <c r="N2">
        <f t="shared" si="2"/>
        <v>106</v>
      </c>
      <c r="O2" s="13">
        <f t="shared" si="2"/>
        <v>43.99</v>
      </c>
      <c r="P2" s="13">
        <f t="shared" si="2"/>
        <v>124.32</v>
      </c>
      <c r="Q2" s="16">
        <f t="shared" si="2"/>
        <v>19</v>
      </c>
      <c r="R2">
        <f t="shared" si="2"/>
        <v>94.36</v>
      </c>
    </row>
    <row r="3" spans="1:18" x14ac:dyDescent="0.25">
      <c r="A3">
        <f>MIN(Table2[Index])+(ROWS(Table2[])-ROW())+1</f>
        <v>44</v>
      </c>
      <c r="B3" s="4">
        <f>VLOOKUP(Table5[[#This Row],[Index]],Table2[#All],COLUMN(),FALSE)</f>
        <v>44981</v>
      </c>
      <c r="C3">
        <f>VLOOKUP(Table5[[#This Row],[Index]],Table2[#All],COLUMN(),FALSE)</f>
        <v>136</v>
      </c>
      <c r="D3">
        <f>VLOOKUP(Table5[[#This Row],[Index]],Table2[#All],COLUMN(),FALSE)</f>
        <v>69</v>
      </c>
      <c r="E3">
        <f>VLOOKUP(Table5[[#This Row],[Index]],Table2[#All],COLUMN(),FALSE)</f>
        <v>43.42</v>
      </c>
      <c r="F3">
        <f>VLOOKUP(Table5[[#This Row],[Index]],Table2[#All],COLUMN(),FALSE)</f>
        <v>112.89</v>
      </c>
      <c r="G3">
        <f>VLOOKUP(Table5[[#This Row],[Index]],Table2[#All],COLUMN(),FALSE)</f>
        <v>19</v>
      </c>
      <c r="H3">
        <f>VLOOKUP(Table5[[#This Row],[Index]],Table2[#All],COLUMN(),FALSE)</f>
        <v>56.33</v>
      </c>
      <c r="K3">
        <f t="shared" ref="K3:R3" si="3">A5</f>
        <v>42</v>
      </c>
      <c r="L3" s="4">
        <f t="shared" si="3"/>
        <v>44967</v>
      </c>
      <c r="M3">
        <f t="shared" si="3"/>
        <v>115</v>
      </c>
      <c r="N3">
        <f t="shared" si="3"/>
        <v>125</v>
      </c>
      <c r="O3">
        <f t="shared" si="3"/>
        <v>52.887587078651698</v>
      </c>
      <c r="P3">
        <f t="shared" si="3"/>
        <v>127.52723309736037</v>
      </c>
      <c r="Q3">
        <f t="shared" si="3"/>
        <v>21</v>
      </c>
      <c r="R3">
        <f t="shared" si="3"/>
        <v>73.003170731707314</v>
      </c>
    </row>
    <row r="4" spans="1:18" x14ac:dyDescent="0.25">
      <c r="A4">
        <f>MIN(Table2[Index])+(ROWS(Table2[])-ROW())+1</f>
        <v>43</v>
      </c>
      <c r="B4" s="4">
        <f>VLOOKUP(Table5[[#This Row],[Index]],Table2[#All],COLUMN(),FALSE)</f>
        <v>44974</v>
      </c>
      <c r="C4">
        <f>VLOOKUP(Table5[[#This Row],[Index]],Table2[#All],COLUMN(),FALSE)</f>
        <v>131</v>
      </c>
      <c r="D4">
        <f>VLOOKUP(Table5[[#This Row],[Index]],Table2[#All],COLUMN(),FALSE)</f>
        <v>97</v>
      </c>
      <c r="E4">
        <f>VLOOKUP(Table5[[#This Row],[Index]],Table2[#All],COLUMN(),FALSE)</f>
        <v>52.670572759660189</v>
      </c>
      <c r="F4">
        <f>VLOOKUP(Table5[[#This Row],[Index]],Table2[#All],COLUMN(),FALSE)</f>
        <v>128.04375097778379</v>
      </c>
      <c r="G4">
        <f>VLOOKUP(Table5[[#This Row],[Index]],Table2[#All],COLUMN(),FALSE)</f>
        <v>22</v>
      </c>
      <c r="H4">
        <f>VLOOKUP(Table5[[#This Row],[Index]],Table2[#All],COLUMN(),FALSE)</f>
        <v>72.07227245687092</v>
      </c>
      <c r="K4">
        <f>Table5[[#This Row],[Index]]</f>
        <v>43</v>
      </c>
      <c r="L4" s="4">
        <f>Table5[[#This Row],[Date]]</f>
        <v>44974</v>
      </c>
      <c r="M4">
        <f>Table5[[#This Row],[Total Cases]]</f>
        <v>131</v>
      </c>
      <c r="N4">
        <f>Table5[[#This Row],[Inbound Calls]]</f>
        <v>97</v>
      </c>
      <c r="O4">
        <f>Table5[[#This Row],[RT]]</f>
        <v>52.670572759660189</v>
      </c>
      <c r="P4">
        <f>Table5[[#This Row],[RT +1]]</f>
        <v>128.04375097778379</v>
      </c>
      <c r="Q4">
        <f>Table5[[#This Row],[Vol of RT+1]]</f>
        <v>22</v>
      </c>
      <c r="R4">
        <f>Table5[[#This Row],[TL]]</f>
        <v>72.07227245687092</v>
      </c>
    </row>
    <row r="5" spans="1:18" x14ac:dyDescent="0.25">
      <c r="A5">
        <f>MIN(Table2[Index])+(ROWS(Table2[])-ROW())+1</f>
        <v>42</v>
      </c>
      <c r="B5" s="4">
        <f>VLOOKUP(Table5[[#This Row],[Index]],Table2[#All],COLUMN(),FALSE)</f>
        <v>44967</v>
      </c>
      <c r="C5">
        <f>VLOOKUP(Table5[[#This Row],[Index]],Table2[#All],COLUMN(),FALSE)</f>
        <v>115</v>
      </c>
      <c r="D5">
        <f>VLOOKUP(Table5[[#This Row],[Index]],Table2[#All],COLUMN(),FALSE)</f>
        <v>125</v>
      </c>
      <c r="E5">
        <f>VLOOKUP(Table5[[#This Row],[Index]],Table2[#All],COLUMN(),FALSE)</f>
        <v>52.887587078651698</v>
      </c>
      <c r="F5">
        <f>VLOOKUP(Table5[[#This Row],[Index]],Table2[#All],COLUMN(),FALSE)</f>
        <v>127.52723309736037</v>
      </c>
      <c r="G5">
        <f>VLOOKUP(Table5[[#This Row],[Index]],Table2[#All],COLUMN(),FALSE)</f>
        <v>21</v>
      </c>
      <c r="H5">
        <f>VLOOKUP(Table5[[#This Row],[Index]],Table2[#All],COLUMN(),FALSE)</f>
        <v>73.003170731707314</v>
      </c>
      <c r="K5">
        <f t="shared" ref="K5:R5" si="4">A3</f>
        <v>44</v>
      </c>
      <c r="L5" s="4">
        <f t="shared" si="4"/>
        <v>44981</v>
      </c>
      <c r="M5">
        <f t="shared" si="4"/>
        <v>136</v>
      </c>
      <c r="N5">
        <f t="shared" si="4"/>
        <v>69</v>
      </c>
      <c r="O5">
        <f t="shared" si="4"/>
        <v>43.42</v>
      </c>
      <c r="P5">
        <f t="shared" si="4"/>
        <v>112.89</v>
      </c>
      <c r="Q5">
        <f t="shared" si="4"/>
        <v>19</v>
      </c>
      <c r="R5">
        <f t="shared" si="4"/>
        <v>56.33</v>
      </c>
    </row>
    <row r="6" spans="1:18" x14ac:dyDescent="0.25">
      <c r="A6">
        <f>MIN(Table2[Index])+(ROWS(Table2[])-ROW())+1</f>
        <v>41</v>
      </c>
      <c r="B6" s="4">
        <f>VLOOKUP(Table5[[#This Row],[Index]],Table2[#All],COLUMN(),FALSE)</f>
        <v>44960</v>
      </c>
      <c r="C6">
        <f>VLOOKUP(Table5[[#This Row],[Index]],Table2[#All],COLUMN(),FALSE)</f>
        <v>155</v>
      </c>
      <c r="D6">
        <f>VLOOKUP(Table5[[#This Row],[Index]],Table2[#All],COLUMN(),FALSE)</f>
        <v>106</v>
      </c>
      <c r="E6" s="13">
        <f>VLOOKUP(Table5[[#This Row],[Index]],Table2[#All],COLUMN(),FALSE)</f>
        <v>43.99</v>
      </c>
      <c r="F6" s="13">
        <f>VLOOKUP(Table5[[#This Row],[Index]],Table2[#All],COLUMN(),FALSE)</f>
        <v>124.32</v>
      </c>
      <c r="G6" s="16">
        <f>VLOOKUP(Table5[[#This Row],[Index]],Table2[#All],COLUMN(),FALSE)</f>
        <v>19</v>
      </c>
      <c r="H6">
        <f>VLOOKUP(Table5[[#This Row],[Index]],Table2[#All],COLUMN(),FALSE)</f>
        <v>94.36</v>
      </c>
      <c r="K6">
        <f t="shared" ref="K6:R6" si="5">A2</f>
        <v>45</v>
      </c>
      <c r="L6" s="4">
        <f t="shared" si="5"/>
        <v>44988</v>
      </c>
      <c r="M6">
        <f t="shared" si="5"/>
        <v>162</v>
      </c>
      <c r="N6">
        <f t="shared" si="5"/>
        <v>89</v>
      </c>
      <c r="O6" s="13">
        <f t="shared" si="5"/>
        <v>46.213483146067418</v>
      </c>
      <c r="P6" s="13">
        <f t="shared" si="5"/>
        <v>123.65217391304348</v>
      </c>
      <c r="Q6">
        <f t="shared" si="5"/>
        <v>24</v>
      </c>
      <c r="R6" s="13">
        <f t="shared" si="5"/>
        <v>89.59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0FAF-C217-4C62-A819-4BF2C5AB8C46}">
  <sheetPr codeName="Sheet4"/>
  <dimension ref="A1:J163"/>
  <sheetViews>
    <sheetView workbookViewId="0">
      <selection activeCell="F43" sqref="F43"/>
    </sheetView>
  </sheetViews>
  <sheetFormatPr defaultRowHeight="15" x14ac:dyDescent="0.25"/>
  <cols>
    <col min="1" max="1" width="28.5703125" bestFit="1" customWidth="1"/>
    <col min="2" max="2" width="20" bestFit="1" customWidth="1"/>
    <col min="3" max="3" width="20.5703125" style="4" bestFit="1" customWidth="1"/>
    <col min="4" max="4" width="51.7109375" bestFit="1" customWidth="1"/>
  </cols>
  <sheetData>
    <row r="1" spans="1:10" x14ac:dyDescent="0.25">
      <c r="A1" t="s">
        <v>22</v>
      </c>
      <c r="B1" t="s">
        <v>14</v>
      </c>
      <c r="C1" s="4" t="s">
        <v>11</v>
      </c>
      <c r="D1" t="s">
        <v>8</v>
      </c>
      <c r="H1" t="s">
        <v>0</v>
      </c>
      <c r="J1">
        <f>COUNTA(D$2:D$1048576)</f>
        <v>162</v>
      </c>
    </row>
    <row r="2" spans="1:10" hidden="1" x14ac:dyDescent="0.25">
      <c r="A2" t="s">
        <v>30</v>
      </c>
      <c r="B2" t="s">
        <v>374</v>
      </c>
      <c r="C2" t="s">
        <v>375</v>
      </c>
      <c r="D2" t="s">
        <v>123</v>
      </c>
    </row>
    <row r="3" spans="1:10" x14ac:dyDescent="0.25">
      <c r="A3" t="s">
        <v>23</v>
      </c>
      <c r="B3" t="s">
        <v>4</v>
      </c>
      <c r="C3" t="s">
        <v>494</v>
      </c>
      <c r="D3" t="s">
        <v>173</v>
      </c>
    </row>
    <row r="4" spans="1:10" x14ac:dyDescent="0.25">
      <c r="A4" t="s">
        <v>23</v>
      </c>
      <c r="B4" t="s">
        <v>4</v>
      </c>
      <c r="C4" t="s">
        <v>495</v>
      </c>
      <c r="D4" t="s">
        <v>110</v>
      </c>
    </row>
    <row r="5" spans="1:10" x14ac:dyDescent="0.25">
      <c r="A5" t="s">
        <v>23</v>
      </c>
      <c r="B5" t="s">
        <v>4</v>
      </c>
      <c r="C5" t="s">
        <v>496</v>
      </c>
      <c r="D5" t="s">
        <v>149</v>
      </c>
    </row>
    <row r="6" spans="1:10" x14ac:dyDescent="0.25">
      <c r="A6" t="s">
        <v>23</v>
      </c>
      <c r="B6" t="s">
        <v>4</v>
      </c>
      <c r="C6" t="s">
        <v>497</v>
      </c>
      <c r="D6" t="s">
        <v>95</v>
      </c>
    </row>
    <row r="7" spans="1:10" x14ac:dyDescent="0.25">
      <c r="A7" t="s">
        <v>23</v>
      </c>
      <c r="B7" t="s">
        <v>4</v>
      </c>
      <c r="C7" t="s">
        <v>498</v>
      </c>
      <c r="D7" t="s">
        <v>88</v>
      </c>
      <c r="H7" s="14"/>
    </row>
    <row r="8" spans="1:10" x14ac:dyDescent="0.25">
      <c r="A8" t="s">
        <v>23</v>
      </c>
      <c r="B8" t="s">
        <v>4</v>
      </c>
      <c r="C8" t="s">
        <v>499</v>
      </c>
      <c r="D8" t="s">
        <v>110</v>
      </c>
      <c r="H8" s="14"/>
    </row>
    <row r="9" spans="1:10" x14ac:dyDescent="0.25">
      <c r="A9" t="s">
        <v>23</v>
      </c>
      <c r="B9" t="s">
        <v>4</v>
      </c>
      <c r="C9" t="s">
        <v>500</v>
      </c>
      <c r="D9" t="s">
        <v>392</v>
      </c>
      <c r="H9" s="14"/>
    </row>
    <row r="10" spans="1:10" x14ac:dyDescent="0.25">
      <c r="A10" t="s">
        <v>23</v>
      </c>
      <c r="B10" t="s">
        <v>4</v>
      </c>
      <c r="C10" t="s">
        <v>501</v>
      </c>
      <c r="D10" t="s">
        <v>95</v>
      </c>
      <c r="H10" s="14"/>
    </row>
    <row r="11" spans="1:10" x14ac:dyDescent="0.25">
      <c r="A11" t="s">
        <v>23</v>
      </c>
      <c r="B11" t="s">
        <v>4</v>
      </c>
      <c r="C11" t="s">
        <v>502</v>
      </c>
      <c r="D11" t="s">
        <v>86</v>
      </c>
      <c r="H11" s="14"/>
    </row>
    <row r="12" spans="1:10" x14ac:dyDescent="0.25">
      <c r="A12" t="s">
        <v>23</v>
      </c>
      <c r="B12" t="s">
        <v>4</v>
      </c>
      <c r="C12" t="s">
        <v>503</v>
      </c>
      <c r="D12" t="s">
        <v>94</v>
      </c>
      <c r="H12" s="14"/>
    </row>
    <row r="13" spans="1:10" x14ac:dyDescent="0.25">
      <c r="A13" t="s">
        <v>23</v>
      </c>
      <c r="B13" t="s">
        <v>4</v>
      </c>
      <c r="C13" t="s">
        <v>504</v>
      </c>
      <c r="D13" t="s">
        <v>95</v>
      </c>
    </row>
    <row r="14" spans="1:10" x14ac:dyDescent="0.25">
      <c r="A14" t="s">
        <v>23</v>
      </c>
      <c r="B14" t="s">
        <v>4</v>
      </c>
      <c r="C14" t="s">
        <v>505</v>
      </c>
      <c r="D14" t="s">
        <v>37</v>
      </c>
    </row>
    <row r="15" spans="1:10" x14ac:dyDescent="0.25">
      <c r="A15" t="s">
        <v>23</v>
      </c>
      <c r="B15" t="s">
        <v>4</v>
      </c>
      <c r="C15" t="s">
        <v>506</v>
      </c>
      <c r="D15" t="s">
        <v>95</v>
      </c>
    </row>
    <row r="16" spans="1:10" x14ac:dyDescent="0.25">
      <c r="A16" t="s">
        <v>23</v>
      </c>
      <c r="B16" t="s">
        <v>4</v>
      </c>
      <c r="C16" t="s">
        <v>507</v>
      </c>
      <c r="D16" t="s">
        <v>100</v>
      </c>
    </row>
    <row r="17" spans="1:4" x14ac:dyDescent="0.25">
      <c r="A17" t="s">
        <v>23</v>
      </c>
      <c r="B17" t="s">
        <v>4</v>
      </c>
      <c r="C17" t="s">
        <v>508</v>
      </c>
      <c r="D17" t="s">
        <v>388</v>
      </c>
    </row>
    <row r="18" spans="1:4" x14ac:dyDescent="0.25">
      <c r="A18" t="s">
        <v>23</v>
      </c>
      <c r="B18" t="s">
        <v>4</v>
      </c>
      <c r="C18" t="s">
        <v>509</v>
      </c>
      <c r="D18" t="s">
        <v>107</v>
      </c>
    </row>
    <row r="19" spans="1:4" x14ac:dyDescent="0.25">
      <c r="A19" t="s">
        <v>23</v>
      </c>
      <c r="B19" t="s">
        <v>4</v>
      </c>
      <c r="C19" t="s">
        <v>510</v>
      </c>
      <c r="D19" t="s">
        <v>110</v>
      </c>
    </row>
    <row r="20" spans="1:4" x14ac:dyDescent="0.25">
      <c r="A20" t="s">
        <v>23</v>
      </c>
      <c r="B20" t="s">
        <v>4</v>
      </c>
      <c r="C20" t="s">
        <v>511</v>
      </c>
      <c r="D20" t="s">
        <v>95</v>
      </c>
    </row>
    <row r="21" spans="1:4" x14ac:dyDescent="0.25">
      <c r="A21" t="s">
        <v>23</v>
      </c>
      <c r="B21" t="s">
        <v>4</v>
      </c>
      <c r="C21" t="s">
        <v>512</v>
      </c>
      <c r="D21" t="s">
        <v>86</v>
      </c>
    </row>
    <row r="22" spans="1:4" x14ac:dyDescent="0.25">
      <c r="A22" t="s">
        <v>23</v>
      </c>
      <c r="B22" t="s">
        <v>2</v>
      </c>
      <c r="C22" t="s">
        <v>167</v>
      </c>
      <c r="D22" t="s">
        <v>26</v>
      </c>
    </row>
    <row r="23" spans="1:4" x14ac:dyDescent="0.25">
      <c r="A23" t="s">
        <v>23</v>
      </c>
      <c r="B23" t="s">
        <v>2</v>
      </c>
      <c r="C23" t="s">
        <v>168</v>
      </c>
      <c r="D23" t="s">
        <v>162</v>
      </c>
    </row>
    <row r="24" spans="1:4" x14ac:dyDescent="0.25">
      <c r="A24" t="s">
        <v>23</v>
      </c>
      <c r="B24" t="s">
        <v>2</v>
      </c>
      <c r="C24" t="s">
        <v>169</v>
      </c>
      <c r="D24" t="s">
        <v>108</v>
      </c>
    </row>
    <row r="25" spans="1:4" x14ac:dyDescent="0.25">
      <c r="A25" t="s">
        <v>23</v>
      </c>
      <c r="B25" t="s">
        <v>2</v>
      </c>
      <c r="C25" t="s">
        <v>170</v>
      </c>
      <c r="D25" t="s">
        <v>155</v>
      </c>
    </row>
    <row r="26" spans="1:4" x14ac:dyDescent="0.25">
      <c r="A26" t="s">
        <v>23</v>
      </c>
      <c r="B26" t="s">
        <v>2</v>
      </c>
      <c r="C26" t="s">
        <v>171</v>
      </c>
      <c r="D26" t="s">
        <v>26</v>
      </c>
    </row>
    <row r="27" spans="1:4" x14ac:dyDescent="0.25">
      <c r="A27" t="s">
        <v>23</v>
      </c>
      <c r="B27" t="s">
        <v>2</v>
      </c>
      <c r="C27" t="s">
        <v>172</v>
      </c>
      <c r="D27" t="s">
        <v>173</v>
      </c>
    </row>
    <row r="28" spans="1:4" x14ac:dyDescent="0.25">
      <c r="A28" t="s">
        <v>23</v>
      </c>
      <c r="B28" t="s">
        <v>2</v>
      </c>
      <c r="C28" t="s">
        <v>420</v>
      </c>
      <c r="D28" t="s">
        <v>421</v>
      </c>
    </row>
    <row r="29" spans="1:4" x14ac:dyDescent="0.25">
      <c r="A29" t="s">
        <v>23</v>
      </c>
      <c r="B29" t="s">
        <v>2</v>
      </c>
      <c r="C29" t="s">
        <v>422</v>
      </c>
      <c r="D29" t="s">
        <v>27</v>
      </c>
    </row>
    <row r="30" spans="1:4" x14ac:dyDescent="0.25">
      <c r="A30" t="s">
        <v>23</v>
      </c>
      <c r="B30" t="s">
        <v>2</v>
      </c>
      <c r="C30" t="s">
        <v>423</v>
      </c>
      <c r="D30" t="s">
        <v>424</v>
      </c>
    </row>
    <row r="31" spans="1:4" x14ac:dyDescent="0.25">
      <c r="A31" t="s">
        <v>23</v>
      </c>
      <c r="B31" t="s">
        <v>2</v>
      </c>
      <c r="C31" t="s">
        <v>425</v>
      </c>
      <c r="D31" t="s">
        <v>27</v>
      </c>
    </row>
    <row r="32" spans="1:4" x14ac:dyDescent="0.25">
      <c r="A32" t="s">
        <v>23</v>
      </c>
      <c r="B32" t="s">
        <v>2</v>
      </c>
      <c r="C32" t="s">
        <v>426</v>
      </c>
      <c r="D32" t="s">
        <v>402</v>
      </c>
    </row>
    <row r="33" spans="1:4" x14ac:dyDescent="0.25">
      <c r="A33" t="s">
        <v>23</v>
      </c>
      <c r="B33" t="s">
        <v>2</v>
      </c>
      <c r="C33" t="s">
        <v>427</v>
      </c>
      <c r="D33" t="s">
        <v>428</v>
      </c>
    </row>
    <row r="34" spans="1:4" x14ac:dyDescent="0.25">
      <c r="A34" t="s">
        <v>23</v>
      </c>
      <c r="B34" t="s">
        <v>2</v>
      </c>
      <c r="C34" t="s">
        <v>429</v>
      </c>
      <c r="D34" t="s">
        <v>24</v>
      </c>
    </row>
    <row r="35" spans="1:4" x14ac:dyDescent="0.25">
      <c r="A35" t="s">
        <v>23</v>
      </c>
      <c r="B35" t="s">
        <v>2</v>
      </c>
      <c r="C35" t="s">
        <v>430</v>
      </c>
      <c r="D35" t="s">
        <v>431</v>
      </c>
    </row>
    <row r="36" spans="1:4" x14ac:dyDescent="0.25">
      <c r="A36" t="s">
        <v>23</v>
      </c>
      <c r="B36" t="s">
        <v>2</v>
      </c>
      <c r="C36" t="s">
        <v>432</v>
      </c>
      <c r="D36" t="s">
        <v>433</v>
      </c>
    </row>
    <row r="37" spans="1:4" x14ac:dyDescent="0.25">
      <c r="A37" t="s">
        <v>23</v>
      </c>
      <c r="B37" t="s">
        <v>2</v>
      </c>
      <c r="C37" t="s">
        <v>434</v>
      </c>
      <c r="D37" t="s">
        <v>117</v>
      </c>
    </row>
    <row r="38" spans="1:4" x14ac:dyDescent="0.25">
      <c r="A38" t="s">
        <v>23</v>
      </c>
      <c r="B38" t="s">
        <v>2</v>
      </c>
      <c r="C38" t="s">
        <v>435</v>
      </c>
      <c r="D38" t="s">
        <v>126</v>
      </c>
    </row>
    <row r="39" spans="1:4" x14ac:dyDescent="0.25">
      <c r="A39" t="s">
        <v>23</v>
      </c>
      <c r="B39" t="s">
        <v>2</v>
      </c>
      <c r="C39" t="s">
        <v>436</v>
      </c>
      <c r="D39" t="s">
        <v>162</v>
      </c>
    </row>
    <row r="40" spans="1:4" x14ac:dyDescent="0.25">
      <c r="A40" t="s">
        <v>23</v>
      </c>
      <c r="B40" t="s">
        <v>2</v>
      </c>
      <c r="C40" t="s">
        <v>437</v>
      </c>
      <c r="D40" t="s">
        <v>110</v>
      </c>
    </row>
    <row r="41" spans="1:4" x14ac:dyDescent="0.25">
      <c r="A41" t="s">
        <v>23</v>
      </c>
      <c r="B41" t="s">
        <v>2</v>
      </c>
      <c r="C41" t="s">
        <v>438</v>
      </c>
      <c r="D41" t="s">
        <v>101</v>
      </c>
    </row>
    <row r="42" spans="1:4" x14ac:dyDescent="0.25">
      <c r="A42" t="s">
        <v>23</v>
      </c>
      <c r="B42" t="s">
        <v>2</v>
      </c>
      <c r="C42" t="s">
        <v>439</v>
      </c>
      <c r="D42" t="s">
        <v>27</v>
      </c>
    </row>
    <row r="43" spans="1:4" x14ac:dyDescent="0.25">
      <c r="A43" t="s">
        <v>23</v>
      </c>
      <c r="B43" t="s">
        <v>2</v>
      </c>
      <c r="C43" t="s">
        <v>440</v>
      </c>
      <c r="D43" t="s">
        <v>85</v>
      </c>
    </row>
    <row r="44" spans="1:4" x14ac:dyDescent="0.25">
      <c r="A44" t="s">
        <v>23</v>
      </c>
      <c r="B44" t="s">
        <v>2</v>
      </c>
      <c r="C44" t="s">
        <v>441</v>
      </c>
      <c r="D44" t="s">
        <v>93</v>
      </c>
    </row>
    <row r="45" spans="1:4" x14ac:dyDescent="0.25">
      <c r="A45" t="s">
        <v>23</v>
      </c>
      <c r="B45" t="s">
        <v>2</v>
      </c>
      <c r="C45" t="s">
        <v>442</v>
      </c>
      <c r="D45" t="s">
        <v>26</v>
      </c>
    </row>
    <row r="46" spans="1:4" x14ac:dyDescent="0.25">
      <c r="A46" t="s">
        <v>23</v>
      </c>
      <c r="B46" t="s">
        <v>2</v>
      </c>
      <c r="C46" t="s">
        <v>443</v>
      </c>
      <c r="D46" t="s">
        <v>111</v>
      </c>
    </row>
    <row r="47" spans="1:4" x14ac:dyDescent="0.25">
      <c r="A47" t="s">
        <v>23</v>
      </c>
      <c r="B47" t="s">
        <v>2</v>
      </c>
      <c r="C47" t="s">
        <v>444</v>
      </c>
      <c r="D47" t="s">
        <v>26</v>
      </c>
    </row>
    <row r="48" spans="1:4" x14ac:dyDescent="0.25">
      <c r="A48" t="s">
        <v>23</v>
      </c>
      <c r="B48" t="s">
        <v>2</v>
      </c>
      <c r="C48" t="s">
        <v>445</v>
      </c>
      <c r="D48" t="s">
        <v>85</v>
      </c>
    </row>
    <row r="49" spans="1:4" x14ac:dyDescent="0.25">
      <c r="A49" t="s">
        <v>23</v>
      </c>
      <c r="B49" t="s">
        <v>2</v>
      </c>
      <c r="C49" t="s">
        <v>446</v>
      </c>
      <c r="D49" t="s">
        <v>93</v>
      </c>
    </row>
    <row r="50" spans="1:4" x14ac:dyDescent="0.25">
      <c r="A50" t="s">
        <v>23</v>
      </c>
      <c r="B50" t="s">
        <v>2</v>
      </c>
      <c r="C50" t="s">
        <v>447</v>
      </c>
      <c r="D50" t="s">
        <v>113</v>
      </c>
    </row>
    <row r="51" spans="1:4" x14ac:dyDescent="0.25">
      <c r="A51" t="s">
        <v>23</v>
      </c>
      <c r="B51" t="s">
        <v>2</v>
      </c>
      <c r="C51" t="s">
        <v>448</v>
      </c>
      <c r="D51" t="s">
        <v>85</v>
      </c>
    </row>
    <row r="52" spans="1:4" x14ac:dyDescent="0.25">
      <c r="A52" t="s">
        <v>23</v>
      </c>
      <c r="B52" t="s">
        <v>2</v>
      </c>
      <c r="C52" t="s">
        <v>449</v>
      </c>
      <c r="D52" t="s">
        <v>130</v>
      </c>
    </row>
    <row r="53" spans="1:4" x14ac:dyDescent="0.25">
      <c r="A53" t="s">
        <v>23</v>
      </c>
      <c r="B53" t="s">
        <v>2</v>
      </c>
      <c r="C53" t="s">
        <v>450</v>
      </c>
      <c r="D53" t="s">
        <v>110</v>
      </c>
    </row>
    <row r="54" spans="1:4" hidden="1" x14ac:dyDescent="0.25">
      <c r="A54" t="s">
        <v>32</v>
      </c>
      <c r="B54" t="s">
        <v>537</v>
      </c>
      <c r="C54" t="s">
        <v>538</v>
      </c>
      <c r="D54" t="s">
        <v>534</v>
      </c>
    </row>
    <row r="55" spans="1:4" hidden="1" x14ac:dyDescent="0.25">
      <c r="A55" t="s">
        <v>32</v>
      </c>
      <c r="B55" t="s">
        <v>537</v>
      </c>
      <c r="C55" t="s">
        <v>539</v>
      </c>
      <c r="D55" t="s">
        <v>540</v>
      </c>
    </row>
    <row r="56" spans="1:4" hidden="1" x14ac:dyDescent="0.25">
      <c r="A56" t="s">
        <v>32</v>
      </c>
      <c r="B56" t="s">
        <v>125</v>
      </c>
      <c r="C56" t="s">
        <v>535</v>
      </c>
      <c r="D56" t="s">
        <v>536</v>
      </c>
    </row>
    <row r="57" spans="1:4" hidden="1" x14ac:dyDescent="0.25">
      <c r="A57" t="s">
        <v>31</v>
      </c>
      <c r="B57" t="s">
        <v>131</v>
      </c>
      <c r="C57" t="s">
        <v>430</v>
      </c>
      <c r="D57" t="s">
        <v>493</v>
      </c>
    </row>
    <row r="58" spans="1:4" hidden="1" x14ac:dyDescent="0.25">
      <c r="A58" t="s">
        <v>31</v>
      </c>
      <c r="B58" t="s">
        <v>104</v>
      </c>
      <c r="C58" t="s">
        <v>470</v>
      </c>
      <c r="D58" t="s">
        <v>471</v>
      </c>
    </row>
    <row r="59" spans="1:4" hidden="1" x14ac:dyDescent="0.25">
      <c r="A59" t="s">
        <v>30</v>
      </c>
      <c r="B59" t="s">
        <v>371</v>
      </c>
      <c r="C59" t="s">
        <v>372</v>
      </c>
      <c r="D59" t="s">
        <v>373</v>
      </c>
    </row>
    <row r="60" spans="1:4" hidden="1" x14ac:dyDescent="0.25">
      <c r="A60" t="s">
        <v>30</v>
      </c>
      <c r="B60" t="s">
        <v>132</v>
      </c>
      <c r="C60" t="s">
        <v>531</v>
      </c>
      <c r="D60" t="s">
        <v>532</v>
      </c>
    </row>
    <row r="61" spans="1:4" x14ac:dyDescent="0.25">
      <c r="A61" t="s">
        <v>23</v>
      </c>
      <c r="B61" t="s">
        <v>6</v>
      </c>
      <c r="C61" t="s">
        <v>175</v>
      </c>
      <c r="D61" t="s">
        <v>25</v>
      </c>
    </row>
    <row r="62" spans="1:4" x14ac:dyDescent="0.25">
      <c r="A62" t="s">
        <v>23</v>
      </c>
      <c r="B62" t="s">
        <v>6</v>
      </c>
      <c r="C62" t="s">
        <v>177</v>
      </c>
      <c r="D62" t="s">
        <v>25</v>
      </c>
    </row>
    <row r="63" spans="1:4" x14ac:dyDescent="0.25">
      <c r="A63" t="s">
        <v>23</v>
      </c>
      <c r="B63" t="s">
        <v>6</v>
      </c>
      <c r="C63" t="s">
        <v>178</v>
      </c>
      <c r="D63" t="s">
        <v>127</v>
      </c>
    </row>
    <row r="64" spans="1:4" x14ac:dyDescent="0.25">
      <c r="A64" t="s">
        <v>23</v>
      </c>
      <c r="B64" t="s">
        <v>6</v>
      </c>
      <c r="C64" t="s">
        <v>451</v>
      </c>
      <c r="D64" t="s">
        <v>109</v>
      </c>
    </row>
    <row r="65" spans="1:4" x14ac:dyDescent="0.25">
      <c r="A65" t="s">
        <v>23</v>
      </c>
      <c r="B65" t="s">
        <v>6</v>
      </c>
      <c r="C65" t="s">
        <v>452</v>
      </c>
      <c r="D65" t="s">
        <v>111</v>
      </c>
    </row>
    <row r="66" spans="1:4" x14ac:dyDescent="0.25">
      <c r="A66" t="s">
        <v>23</v>
      </c>
      <c r="B66" t="s">
        <v>6</v>
      </c>
      <c r="C66" t="s">
        <v>453</v>
      </c>
      <c r="D66" t="s">
        <v>91</v>
      </c>
    </row>
    <row r="67" spans="1:4" x14ac:dyDescent="0.25">
      <c r="A67" t="s">
        <v>23</v>
      </c>
      <c r="B67" t="s">
        <v>6</v>
      </c>
      <c r="C67" t="s">
        <v>454</v>
      </c>
      <c r="D67" t="s">
        <v>102</v>
      </c>
    </row>
    <row r="68" spans="1:4" x14ac:dyDescent="0.25">
      <c r="A68" t="s">
        <v>23</v>
      </c>
      <c r="B68" t="s">
        <v>6</v>
      </c>
      <c r="C68" t="s">
        <v>398</v>
      </c>
      <c r="D68" t="s">
        <v>95</v>
      </c>
    </row>
    <row r="69" spans="1:4" x14ac:dyDescent="0.25">
      <c r="A69" t="s">
        <v>23</v>
      </c>
      <c r="B69" t="s">
        <v>6</v>
      </c>
      <c r="C69" t="s">
        <v>455</v>
      </c>
      <c r="D69" t="s">
        <v>111</v>
      </c>
    </row>
    <row r="70" spans="1:4" x14ac:dyDescent="0.25">
      <c r="A70" t="s">
        <v>23</v>
      </c>
      <c r="B70" t="s">
        <v>6</v>
      </c>
      <c r="C70" t="s">
        <v>456</v>
      </c>
      <c r="D70" t="s">
        <v>421</v>
      </c>
    </row>
    <row r="71" spans="1:4" x14ac:dyDescent="0.25">
      <c r="A71" t="s">
        <v>23</v>
      </c>
      <c r="B71" t="s">
        <v>6</v>
      </c>
      <c r="C71" t="s">
        <v>457</v>
      </c>
      <c r="D71" t="s">
        <v>388</v>
      </c>
    </row>
    <row r="72" spans="1:4" x14ac:dyDescent="0.25">
      <c r="A72" t="s">
        <v>23</v>
      </c>
      <c r="B72" t="s">
        <v>6</v>
      </c>
      <c r="C72" t="s">
        <v>458</v>
      </c>
      <c r="D72" t="s">
        <v>421</v>
      </c>
    </row>
    <row r="73" spans="1:4" x14ac:dyDescent="0.25">
      <c r="A73" t="s">
        <v>23</v>
      </c>
      <c r="B73" t="s">
        <v>6</v>
      </c>
      <c r="C73" t="s">
        <v>459</v>
      </c>
      <c r="D73" t="s">
        <v>460</v>
      </c>
    </row>
    <row r="74" spans="1:4" x14ac:dyDescent="0.25">
      <c r="A74" t="s">
        <v>23</v>
      </c>
      <c r="B74" t="s">
        <v>6</v>
      </c>
      <c r="C74" t="s">
        <v>461</v>
      </c>
      <c r="D74" t="s">
        <v>460</v>
      </c>
    </row>
    <row r="75" spans="1:4" x14ac:dyDescent="0.25">
      <c r="A75" t="s">
        <v>23</v>
      </c>
      <c r="B75" t="s">
        <v>6</v>
      </c>
      <c r="C75" t="s">
        <v>462</v>
      </c>
      <c r="D75" t="s">
        <v>94</v>
      </c>
    </row>
    <row r="76" spans="1:4" x14ac:dyDescent="0.25">
      <c r="A76" t="s">
        <v>23</v>
      </c>
      <c r="B76" t="s">
        <v>6</v>
      </c>
      <c r="C76" t="s">
        <v>463</v>
      </c>
      <c r="D76" t="s">
        <v>123</v>
      </c>
    </row>
    <row r="77" spans="1:4" x14ac:dyDescent="0.25">
      <c r="A77" t="s">
        <v>23</v>
      </c>
      <c r="B77" t="s">
        <v>6</v>
      </c>
      <c r="C77" t="s">
        <v>464</v>
      </c>
      <c r="D77" t="s">
        <v>26</v>
      </c>
    </row>
    <row r="78" spans="1:4" x14ac:dyDescent="0.25">
      <c r="A78" t="s">
        <v>23</v>
      </c>
      <c r="B78" t="s">
        <v>6</v>
      </c>
      <c r="C78" t="s">
        <v>465</v>
      </c>
      <c r="D78" t="s">
        <v>90</v>
      </c>
    </row>
    <row r="79" spans="1:4" x14ac:dyDescent="0.25">
      <c r="A79" t="s">
        <v>23</v>
      </c>
      <c r="B79" t="s">
        <v>6</v>
      </c>
      <c r="C79" t="s">
        <v>466</v>
      </c>
      <c r="D79" t="s">
        <v>87</v>
      </c>
    </row>
    <row r="80" spans="1:4" x14ac:dyDescent="0.25">
      <c r="A80" t="s">
        <v>23</v>
      </c>
      <c r="B80" t="s">
        <v>6</v>
      </c>
      <c r="C80" t="s">
        <v>467</v>
      </c>
      <c r="D80" t="s">
        <v>468</v>
      </c>
    </row>
    <row r="81" spans="1:4" x14ac:dyDescent="0.25">
      <c r="A81" t="s">
        <v>23</v>
      </c>
      <c r="B81" t="s">
        <v>6</v>
      </c>
      <c r="C81" t="s">
        <v>469</v>
      </c>
      <c r="D81" t="s">
        <v>37</v>
      </c>
    </row>
    <row r="82" spans="1:4" x14ac:dyDescent="0.25">
      <c r="A82" t="s">
        <v>23</v>
      </c>
      <c r="B82" t="s">
        <v>5</v>
      </c>
      <c r="C82" t="s">
        <v>164</v>
      </c>
      <c r="D82" t="s">
        <v>149</v>
      </c>
    </row>
    <row r="83" spans="1:4" x14ac:dyDescent="0.25">
      <c r="A83" t="s">
        <v>23</v>
      </c>
      <c r="B83" t="s">
        <v>5</v>
      </c>
      <c r="C83" t="s">
        <v>165</v>
      </c>
      <c r="D83" t="s">
        <v>101</v>
      </c>
    </row>
    <row r="84" spans="1:4" x14ac:dyDescent="0.25">
      <c r="A84" t="s">
        <v>23</v>
      </c>
      <c r="B84" t="s">
        <v>5</v>
      </c>
      <c r="C84" t="s">
        <v>166</v>
      </c>
      <c r="D84" t="s">
        <v>163</v>
      </c>
    </row>
    <row r="85" spans="1:4" x14ac:dyDescent="0.25">
      <c r="A85" t="s">
        <v>23</v>
      </c>
      <c r="B85" t="s">
        <v>5</v>
      </c>
      <c r="C85" t="s">
        <v>376</v>
      </c>
      <c r="D85" t="s">
        <v>111</v>
      </c>
    </row>
    <row r="86" spans="1:4" x14ac:dyDescent="0.25">
      <c r="A86" t="s">
        <v>23</v>
      </c>
      <c r="B86" t="s">
        <v>5</v>
      </c>
      <c r="C86" t="s">
        <v>377</v>
      </c>
      <c r="D86" t="s">
        <v>27</v>
      </c>
    </row>
    <row r="87" spans="1:4" x14ac:dyDescent="0.25">
      <c r="A87" t="s">
        <v>23</v>
      </c>
      <c r="B87" t="s">
        <v>5</v>
      </c>
      <c r="C87" t="s">
        <v>378</v>
      </c>
      <c r="D87" t="s">
        <v>97</v>
      </c>
    </row>
    <row r="88" spans="1:4" x14ac:dyDescent="0.25">
      <c r="A88" t="s">
        <v>23</v>
      </c>
      <c r="B88" t="s">
        <v>5</v>
      </c>
      <c r="C88" t="s">
        <v>379</v>
      </c>
      <c r="D88" t="s">
        <v>380</v>
      </c>
    </row>
    <row r="89" spans="1:4" x14ac:dyDescent="0.25">
      <c r="A89" t="s">
        <v>23</v>
      </c>
      <c r="B89" t="s">
        <v>5</v>
      </c>
      <c r="C89" t="s">
        <v>381</v>
      </c>
      <c r="D89" t="s">
        <v>85</v>
      </c>
    </row>
    <row r="90" spans="1:4" x14ac:dyDescent="0.25">
      <c r="A90" t="s">
        <v>23</v>
      </c>
      <c r="B90" t="s">
        <v>5</v>
      </c>
      <c r="C90" t="s">
        <v>382</v>
      </c>
      <c r="D90" t="s">
        <v>26</v>
      </c>
    </row>
    <row r="91" spans="1:4" x14ac:dyDescent="0.25">
      <c r="A91" t="s">
        <v>23</v>
      </c>
      <c r="B91" t="s">
        <v>5</v>
      </c>
      <c r="C91" t="s">
        <v>383</v>
      </c>
      <c r="D91" t="s">
        <v>384</v>
      </c>
    </row>
    <row r="92" spans="1:4" x14ac:dyDescent="0.25">
      <c r="A92" t="s">
        <v>23</v>
      </c>
      <c r="B92" t="s">
        <v>5</v>
      </c>
      <c r="C92" t="s">
        <v>385</v>
      </c>
      <c r="D92" t="s">
        <v>128</v>
      </c>
    </row>
    <row r="93" spans="1:4" x14ac:dyDescent="0.25">
      <c r="A93" t="s">
        <v>23</v>
      </c>
      <c r="B93" t="s">
        <v>5</v>
      </c>
      <c r="C93" t="s">
        <v>386</v>
      </c>
      <c r="D93" t="s">
        <v>384</v>
      </c>
    </row>
    <row r="94" spans="1:4" x14ac:dyDescent="0.25">
      <c r="A94" t="s">
        <v>23</v>
      </c>
      <c r="B94" t="s">
        <v>5</v>
      </c>
      <c r="C94" t="s">
        <v>387</v>
      </c>
      <c r="D94" t="s">
        <v>388</v>
      </c>
    </row>
    <row r="95" spans="1:4" x14ac:dyDescent="0.25">
      <c r="A95" t="s">
        <v>23</v>
      </c>
      <c r="B95" t="s">
        <v>5</v>
      </c>
      <c r="C95" t="s">
        <v>389</v>
      </c>
      <c r="D95" t="s">
        <v>110</v>
      </c>
    </row>
    <row r="96" spans="1:4" x14ac:dyDescent="0.25">
      <c r="A96" t="s">
        <v>23</v>
      </c>
      <c r="B96" t="s">
        <v>5</v>
      </c>
      <c r="C96" t="s">
        <v>390</v>
      </c>
      <c r="D96" t="s">
        <v>98</v>
      </c>
    </row>
    <row r="97" spans="1:4" x14ac:dyDescent="0.25">
      <c r="A97" t="s">
        <v>23</v>
      </c>
      <c r="B97" t="s">
        <v>5</v>
      </c>
      <c r="C97" t="s">
        <v>391</v>
      </c>
      <c r="D97" t="s">
        <v>392</v>
      </c>
    </row>
    <row r="98" spans="1:4" x14ac:dyDescent="0.25">
      <c r="A98" t="s">
        <v>23</v>
      </c>
      <c r="B98" t="s">
        <v>5</v>
      </c>
      <c r="C98" t="s">
        <v>393</v>
      </c>
      <c r="D98" t="s">
        <v>28</v>
      </c>
    </row>
    <row r="99" spans="1:4" x14ac:dyDescent="0.25">
      <c r="A99" t="s">
        <v>23</v>
      </c>
      <c r="B99" t="s">
        <v>5</v>
      </c>
      <c r="C99" t="s">
        <v>394</v>
      </c>
      <c r="D99" t="s">
        <v>395</v>
      </c>
    </row>
    <row r="100" spans="1:4" x14ac:dyDescent="0.25">
      <c r="A100" t="s">
        <v>23</v>
      </c>
      <c r="B100" t="s">
        <v>5</v>
      </c>
      <c r="C100" t="s">
        <v>396</v>
      </c>
      <c r="D100" t="s">
        <v>128</v>
      </c>
    </row>
    <row r="101" spans="1:4" x14ac:dyDescent="0.25">
      <c r="A101" t="s">
        <v>23</v>
      </c>
      <c r="B101" t="s">
        <v>5</v>
      </c>
      <c r="C101" t="s">
        <v>397</v>
      </c>
      <c r="D101" t="s">
        <v>26</v>
      </c>
    </row>
    <row r="102" spans="1:4" x14ac:dyDescent="0.25">
      <c r="A102" t="s">
        <v>23</v>
      </c>
      <c r="B102" t="s">
        <v>5</v>
      </c>
      <c r="C102" t="s">
        <v>398</v>
      </c>
      <c r="D102" t="s">
        <v>113</v>
      </c>
    </row>
    <row r="103" spans="1:4" x14ac:dyDescent="0.25">
      <c r="A103" t="s">
        <v>23</v>
      </c>
      <c r="B103" t="s">
        <v>5</v>
      </c>
      <c r="C103" t="s">
        <v>399</v>
      </c>
      <c r="D103" t="s">
        <v>108</v>
      </c>
    </row>
    <row r="104" spans="1:4" x14ac:dyDescent="0.25">
      <c r="A104" t="s">
        <v>23</v>
      </c>
      <c r="B104" t="s">
        <v>5</v>
      </c>
      <c r="C104" t="s">
        <v>400</v>
      </c>
      <c r="D104" t="s">
        <v>174</v>
      </c>
    </row>
    <row r="105" spans="1:4" x14ac:dyDescent="0.25">
      <c r="A105" t="s">
        <v>23</v>
      </c>
      <c r="B105" t="s">
        <v>5</v>
      </c>
      <c r="C105" t="s">
        <v>401</v>
      </c>
      <c r="D105" t="s">
        <v>402</v>
      </c>
    </row>
    <row r="106" spans="1:4" x14ac:dyDescent="0.25">
      <c r="A106" t="s">
        <v>23</v>
      </c>
      <c r="B106" t="s">
        <v>5</v>
      </c>
      <c r="C106" t="s">
        <v>403</v>
      </c>
      <c r="D106" t="s">
        <v>85</v>
      </c>
    </row>
    <row r="107" spans="1:4" x14ac:dyDescent="0.25">
      <c r="A107" t="s">
        <v>23</v>
      </c>
      <c r="B107" t="s">
        <v>5</v>
      </c>
      <c r="C107" t="s">
        <v>404</v>
      </c>
      <c r="D107" t="s">
        <v>26</v>
      </c>
    </row>
    <row r="108" spans="1:4" x14ac:dyDescent="0.25">
      <c r="A108" t="s">
        <v>23</v>
      </c>
      <c r="B108" t="s">
        <v>5</v>
      </c>
      <c r="C108" t="s">
        <v>405</v>
      </c>
      <c r="D108" t="s">
        <v>395</v>
      </c>
    </row>
    <row r="109" spans="1:4" x14ac:dyDescent="0.25">
      <c r="A109" t="s">
        <v>23</v>
      </c>
      <c r="B109" t="s">
        <v>5</v>
      </c>
      <c r="C109" t="s">
        <v>406</v>
      </c>
      <c r="D109" t="s">
        <v>402</v>
      </c>
    </row>
    <row r="110" spans="1:4" x14ac:dyDescent="0.25">
      <c r="A110" t="s">
        <v>23</v>
      </c>
      <c r="B110" t="s">
        <v>5</v>
      </c>
      <c r="C110" t="s">
        <v>407</v>
      </c>
      <c r="D110" t="s">
        <v>111</v>
      </c>
    </row>
    <row r="111" spans="1:4" x14ac:dyDescent="0.25">
      <c r="A111" t="s">
        <v>23</v>
      </c>
      <c r="B111" t="s">
        <v>5</v>
      </c>
      <c r="C111" t="s">
        <v>408</v>
      </c>
      <c r="D111" t="s">
        <v>384</v>
      </c>
    </row>
    <row r="112" spans="1:4" x14ac:dyDescent="0.25">
      <c r="A112" t="s">
        <v>23</v>
      </c>
      <c r="B112" t="s">
        <v>5</v>
      </c>
      <c r="C112" t="s">
        <v>409</v>
      </c>
      <c r="D112" t="s">
        <v>93</v>
      </c>
    </row>
    <row r="113" spans="1:4" x14ac:dyDescent="0.25">
      <c r="A113" t="s">
        <v>23</v>
      </c>
      <c r="B113" t="s">
        <v>5</v>
      </c>
      <c r="C113" t="s">
        <v>410</v>
      </c>
      <c r="D113" t="s">
        <v>411</v>
      </c>
    </row>
    <row r="114" spans="1:4" x14ac:dyDescent="0.25">
      <c r="A114" t="s">
        <v>23</v>
      </c>
      <c r="B114" t="s">
        <v>5</v>
      </c>
      <c r="C114" t="s">
        <v>412</v>
      </c>
      <c r="D114" t="s">
        <v>126</v>
      </c>
    </row>
    <row r="115" spans="1:4" x14ac:dyDescent="0.25">
      <c r="A115" t="s">
        <v>23</v>
      </c>
      <c r="B115" t="s">
        <v>5</v>
      </c>
      <c r="C115" t="s">
        <v>413</v>
      </c>
      <c r="D115" t="s">
        <v>27</v>
      </c>
    </row>
    <row r="116" spans="1:4" x14ac:dyDescent="0.25">
      <c r="A116" t="s">
        <v>23</v>
      </c>
      <c r="B116" t="s">
        <v>5</v>
      </c>
      <c r="C116" t="s">
        <v>414</v>
      </c>
      <c r="D116" t="s">
        <v>415</v>
      </c>
    </row>
    <row r="117" spans="1:4" x14ac:dyDescent="0.25">
      <c r="A117" t="s">
        <v>23</v>
      </c>
      <c r="B117" t="s">
        <v>5</v>
      </c>
      <c r="C117" t="s">
        <v>416</v>
      </c>
      <c r="D117" t="s">
        <v>86</v>
      </c>
    </row>
    <row r="118" spans="1:4" x14ac:dyDescent="0.25">
      <c r="A118" t="s">
        <v>23</v>
      </c>
      <c r="B118" t="s">
        <v>5</v>
      </c>
      <c r="C118" t="s">
        <v>417</v>
      </c>
      <c r="D118" t="s">
        <v>395</v>
      </c>
    </row>
    <row r="119" spans="1:4" x14ac:dyDescent="0.25">
      <c r="A119" t="s">
        <v>23</v>
      </c>
      <c r="B119" t="s">
        <v>5</v>
      </c>
      <c r="C119" t="s">
        <v>418</v>
      </c>
      <c r="D119" t="s">
        <v>419</v>
      </c>
    </row>
    <row r="120" spans="1:4" x14ac:dyDescent="0.25">
      <c r="A120" t="s">
        <v>23</v>
      </c>
      <c r="B120" t="s">
        <v>5</v>
      </c>
      <c r="C120" t="s">
        <v>418</v>
      </c>
      <c r="D120" t="s">
        <v>174</v>
      </c>
    </row>
    <row r="121" spans="1:4" hidden="1" x14ac:dyDescent="0.25">
      <c r="A121" t="s">
        <v>32</v>
      </c>
      <c r="B121" t="s">
        <v>161</v>
      </c>
      <c r="C121" t="s">
        <v>533</v>
      </c>
      <c r="D121" t="s">
        <v>534</v>
      </c>
    </row>
    <row r="122" spans="1:4" x14ac:dyDescent="0.25">
      <c r="A122" t="s">
        <v>23</v>
      </c>
      <c r="B122" t="s">
        <v>29</v>
      </c>
      <c r="C122" t="s">
        <v>179</v>
      </c>
      <c r="D122" t="s">
        <v>99</v>
      </c>
    </row>
    <row r="123" spans="1:4" x14ac:dyDescent="0.25">
      <c r="A123" t="s">
        <v>23</v>
      </c>
      <c r="B123" t="s">
        <v>29</v>
      </c>
      <c r="C123" t="s">
        <v>180</v>
      </c>
      <c r="D123" t="s">
        <v>99</v>
      </c>
    </row>
    <row r="124" spans="1:4" x14ac:dyDescent="0.25">
      <c r="A124" t="s">
        <v>23</v>
      </c>
      <c r="B124" t="s">
        <v>29</v>
      </c>
      <c r="C124" t="s">
        <v>181</v>
      </c>
      <c r="D124" t="s">
        <v>174</v>
      </c>
    </row>
    <row r="125" spans="1:4" x14ac:dyDescent="0.25">
      <c r="A125" t="s">
        <v>23</v>
      </c>
      <c r="B125" t="s">
        <v>29</v>
      </c>
      <c r="C125" t="s">
        <v>182</v>
      </c>
      <c r="D125" t="s">
        <v>108</v>
      </c>
    </row>
    <row r="126" spans="1:4" x14ac:dyDescent="0.25">
      <c r="A126" t="s">
        <v>23</v>
      </c>
      <c r="B126" t="s">
        <v>29</v>
      </c>
      <c r="C126" t="s">
        <v>183</v>
      </c>
      <c r="D126" t="s">
        <v>112</v>
      </c>
    </row>
    <row r="127" spans="1:4" x14ac:dyDescent="0.25">
      <c r="A127" t="s">
        <v>23</v>
      </c>
      <c r="B127" t="s">
        <v>29</v>
      </c>
      <c r="C127" t="s">
        <v>184</v>
      </c>
      <c r="D127" t="s">
        <v>101</v>
      </c>
    </row>
    <row r="128" spans="1:4" x14ac:dyDescent="0.25">
      <c r="A128" t="s">
        <v>23</v>
      </c>
      <c r="B128" t="s">
        <v>29</v>
      </c>
      <c r="C128" t="s">
        <v>515</v>
      </c>
      <c r="D128" t="s">
        <v>25</v>
      </c>
    </row>
    <row r="129" spans="1:4" x14ac:dyDescent="0.25">
      <c r="A129" t="s">
        <v>23</v>
      </c>
      <c r="B129" t="s">
        <v>29</v>
      </c>
      <c r="C129" t="s">
        <v>516</v>
      </c>
      <c r="D129" t="s">
        <v>28</v>
      </c>
    </row>
    <row r="130" spans="1:4" x14ac:dyDescent="0.25">
      <c r="A130" t="s">
        <v>23</v>
      </c>
      <c r="B130" t="s">
        <v>29</v>
      </c>
      <c r="C130" t="s">
        <v>517</v>
      </c>
      <c r="D130" t="s">
        <v>129</v>
      </c>
    </row>
    <row r="131" spans="1:4" x14ac:dyDescent="0.25">
      <c r="A131" t="s">
        <v>23</v>
      </c>
      <c r="B131" t="s">
        <v>29</v>
      </c>
      <c r="C131" t="s">
        <v>436</v>
      </c>
      <c r="D131" t="s">
        <v>518</v>
      </c>
    </row>
    <row r="132" spans="1:4" x14ac:dyDescent="0.25">
      <c r="A132" t="s">
        <v>23</v>
      </c>
      <c r="B132" t="s">
        <v>29</v>
      </c>
      <c r="C132" t="s">
        <v>519</v>
      </c>
      <c r="D132" t="s">
        <v>122</v>
      </c>
    </row>
    <row r="133" spans="1:4" x14ac:dyDescent="0.25">
      <c r="A133" t="s">
        <v>23</v>
      </c>
      <c r="B133" t="s">
        <v>29</v>
      </c>
      <c r="C133" t="s">
        <v>520</v>
      </c>
      <c r="D133" t="s">
        <v>26</v>
      </c>
    </row>
    <row r="134" spans="1:4" x14ac:dyDescent="0.25">
      <c r="A134" t="s">
        <v>23</v>
      </c>
      <c r="B134" t="s">
        <v>29</v>
      </c>
      <c r="C134" t="s">
        <v>521</v>
      </c>
      <c r="D134" t="s">
        <v>174</v>
      </c>
    </row>
    <row r="135" spans="1:4" x14ac:dyDescent="0.25">
      <c r="A135" t="s">
        <v>23</v>
      </c>
      <c r="B135" t="s">
        <v>29</v>
      </c>
      <c r="C135" t="s">
        <v>522</v>
      </c>
      <c r="D135" t="s">
        <v>91</v>
      </c>
    </row>
    <row r="136" spans="1:4" x14ac:dyDescent="0.25">
      <c r="A136" t="s">
        <v>23</v>
      </c>
      <c r="B136" t="s">
        <v>29</v>
      </c>
      <c r="C136" t="s">
        <v>523</v>
      </c>
      <c r="D136" t="s">
        <v>24</v>
      </c>
    </row>
    <row r="137" spans="1:4" hidden="1" x14ac:dyDescent="0.25">
      <c r="A137" t="s">
        <v>32</v>
      </c>
      <c r="B137" t="s">
        <v>541</v>
      </c>
      <c r="C137" t="s">
        <v>542</v>
      </c>
      <c r="D137" t="s">
        <v>26</v>
      </c>
    </row>
    <row r="138" spans="1:4" hidden="1" x14ac:dyDescent="0.25">
      <c r="A138" t="s">
        <v>31</v>
      </c>
      <c r="B138" t="s">
        <v>526</v>
      </c>
      <c r="C138" t="s">
        <v>527</v>
      </c>
      <c r="D138" t="s">
        <v>98</v>
      </c>
    </row>
    <row r="139" spans="1:4" hidden="1" x14ac:dyDescent="0.25">
      <c r="A139" t="s">
        <v>31</v>
      </c>
      <c r="B139" t="s">
        <v>526</v>
      </c>
      <c r="C139" t="s">
        <v>390</v>
      </c>
      <c r="D139" t="s">
        <v>528</v>
      </c>
    </row>
    <row r="140" spans="1:4" hidden="1" x14ac:dyDescent="0.25">
      <c r="A140" t="s">
        <v>31</v>
      </c>
      <c r="B140" t="s">
        <v>526</v>
      </c>
      <c r="C140" t="s">
        <v>529</v>
      </c>
      <c r="D140" t="s">
        <v>530</v>
      </c>
    </row>
    <row r="141" spans="1:4" hidden="1" x14ac:dyDescent="0.25">
      <c r="A141" t="s">
        <v>31</v>
      </c>
      <c r="B141" t="s">
        <v>141</v>
      </c>
      <c r="C141" t="s">
        <v>513</v>
      </c>
      <c r="D141" t="s">
        <v>87</v>
      </c>
    </row>
    <row r="142" spans="1:4" hidden="1" x14ac:dyDescent="0.25">
      <c r="A142" t="s">
        <v>31</v>
      </c>
      <c r="B142" t="s">
        <v>141</v>
      </c>
      <c r="C142" t="s">
        <v>514</v>
      </c>
      <c r="D142" t="s">
        <v>26</v>
      </c>
    </row>
    <row r="143" spans="1:4" x14ac:dyDescent="0.25">
      <c r="A143" t="s">
        <v>23</v>
      </c>
      <c r="B143" t="s">
        <v>3</v>
      </c>
      <c r="C143" t="s">
        <v>472</v>
      </c>
      <c r="D143" t="s">
        <v>92</v>
      </c>
    </row>
    <row r="144" spans="1:4" x14ac:dyDescent="0.25">
      <c r="A144" t="s">
        <v>23</v>
      </c>
      <c r="B144" t="s">
        <v>3</v>
      </c>
      <c r="C144" t="s">
        <v>185</v>
      </c>
      <c r="D144" t="s">
        <v>111</v>
      </c>
    </row>
    <row r="145" spans="1:4" x14ac:dyDescent="0.25">
      <c r="A145" t="s">
        <v>23</v>
      </c>
      <c r="B145" t="s">
        <v>3</v>
      </c>
      <c r="C145" t="s">
        <v>186</v>
      </c>
      <c r="D145" t="s">
        <v>120</v>
      </c>
    </row>
    <row r="146" spans="1:4" x14ac:dyDescent="0.25">
      <c r="A146" t="s">
        <v>23</v>
      </c>
      <c r="B146" t="s">
        <v>3</v>
      </c>
      <c r="C146" t="s">
        <v>473</v>
      </c>
      <c r="D146" t="s">
        <v>98</v>
      </c>
    </row>
    <row r="147" spans="1:4" x14ac:dyDescent="0.25">
      <c r="A147" t="s">
        <v>23</v>
      </c>
      <c r="B147" t="s">
        <v>3</v>
      </c>
      <c r="C147" t="s">
        <v>474</v>
      </c>
      <c r="D147" t="s">
        <v>475</v>
      </c>
    </row>
    <row r="148" spans="1:4" x14ac:dyDescent="0.25">
      <c r="A148" t="s">
        <v>23</v>
      </c>
      <c r="B148" t="s">
        <v>3</v>
      </c>
      <c r="C148" t="s">
        <v>476</v>
      </c>
      <c r="D148" t="s">
        <v>126</v>
      </c>
    </row>
    <row r="149" spans="1:4" x14ac:dyDescent="0.25">
      <c r="A149" t="s">
        <v>23</v>
      </c>
      <c r="B149" t="s">
        <v>3</v>
      </c>
      <c r="C149" t="s">
        <v>477</v>
      </c>
      <c r="D149" t="s">
        <v>101</v>
      </c>
    </row>
    <row r="150" spans="1:4" x14ac:dyDescent="0.25">
      <c r="A150" t="s">
        <v>23</v>
      </c>
      <c r="B150" t="s">
        <v>3</v>
      </c>
      <c r="C150" t="s">
        <v>478</v>
      </c>
      <c r="D150" t="s">
        <v>102</v>
      </c>
    </row>
    <row r="151" spans="1:4" x14ac:dyDescent="0.25">
      <c r="A151" t="s">
        <v>23</v>
      </c>
      <c r="B151" t="s">
        <v>3</v>
      </c>
      <c r="C151" t="s">
        <v>479</v>
      </c>
      <c r="D151" t="s">
        <v>100</v>
      </c>
    </row>
    <row r="152" spans="1:4" x14ac:dyDescent="0.25">
      <c r="A152" t="s">
        <v>23</v>
      </c>
      <c r="B152" t="s">
        <v>3</v>
      </c>
      <c r="C152" t="s">
        <v>480</v>
      </c>
      <c r="D152" t="s">
        <v>174</v>
      </c>
    </row>
    <row r="153" spans="1:4" x14ac:dyDescent="0.25">
      <c r="A153" t="s">
        <v>23</v>
      </c>
      <c r="B153" t="s">
        <v>3</v>
      </c>
      <c r="C153" t="s">
        <v>481</v>
      </c>
      <c r="D153" t="s">
        <v>482</v>
      </c>
    </row>
    <row r="154" spans="1:4" x14ac:dyDescent="0.25">
      <c r="A154" t="s">
        <v>23</v>
      </c>
      <c r="B154" t="s">
        <v>3</v>
      </c>
      <c r="C154" t="s">
        <v>483</v>
      </c>
      <c r="D154" t="s">
        <v>24</v>
      </c>
    </row>
    <row r="155" spans="1:4" x14ac:dyDescent="0.25">
      <c r="A155" t="s">
        <v>23</v>
      </c>
      <c r="B155" t="s">
        <v>3</v>
      </c>
      <c r="C155" t="s">
        <v>484</v>
      </c>
      <c r="D155" t="s">
        <v>107</v>
      </c>
    </row>
    <row r="156" spans="1:4" x14ac:dyDescent="0.25">
      <c r="A156" t="s">
        <v>23</v>
      </c>
      <c r="B156" t="s">
        <v>3</v>
      </c>
      <c r="C156" t="s">
        <v>485</v>
      </c>
      <c r="D156" t="s">
        <v>110</v>
      </c>
    </row>
    <row r="157" spans="1:4" x14ac:dyDescent="0.25">
      <c r="A157" t="s">
        <v>23</v>
      </c>
      <c r="B157" t="s">
        <v>3</v>
      </c>
      <c r="C157" t="s">
        <v>486</v>
      </c>
      <c r="D157" t="s">
        <v>487</v>
      </c>
    </row>
    <row r="158" spans="1:4" x14ac:dyDescent="0.25">
      <c r="A158" t="s">
        <v>23</v>
      </c>
      <c r="B158" t="s">
        <v>3</v>
      </c>
      <c r="C158" t="s">
        <v>488</v>
      </c>
      <c r="D158" t="s">
        <v>384</v>
      </c>
    </row>
    <row r="159" spans="1:4" x14ac:dyDescent="0.25">
      <c r="A159" t="s">
        <v>23</v>
      </c>
      <c r="B159" t="s">
        <v>3</v>
      </c>
      <c r="C159" t="s">
        <v>489</v>
      </c>
      <c r="D159" t="s">
        <v>111</v>
      </c>
    </row>
    <row r="160" spans="1:4" x14ac:dyDescent="0.25">
      <c r="A160" t="s">
        <v>23</v>
      </c>
      <c r="B160" t="s">
        <v>3</v>
      </c>
      <c r="C160" t="s">
        <v>490</v>
      </c>
      <c r="D160" t="s">
        <v>94</v>
      </c>
    </row>
    <row r="161" spans="1:4" x14ac:dyDescent="0.25">
      <c r="A161" t="s">
        <v>23</v>
      </c>
      <c r="B161" t="s">
        <v>3</v>
      </c>
      <c r="C161" t="s">
        <v>491</v>
      </c>
      <c r="D161" t="s">
        <v>111</v>
      </c>
    </row>
    <row r="162" spans="1:4" x14ac:dyDescent="0.25">
      <c r="A162" t="s">
        <v>23</v>
      </c>
      <c r="B162" t="s">
        <v>3</v>
      </c>
      <c r="C162" t="s">
        <v>492</v>
      </c>
      <c r="D162" t="s">
        <v>110</v>
      </c>
    </row>
    <row r="163" spans="1:4" hidden="1" x14ac:dyDescent="0.25">
      <c r="A163" t="s">
        <v>31</v>
      </c>
      <c r="B163" t="s">
        <v>124</v>
      </c>
      <c r="C163" t="s">
        <v>524</v>
      </c>
      <c r="D163" t="s">
        <v>525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1ABAE-2521-4E3D-B8DD-F16A1D87CEE0}">
  <sheetPr codeName="Sheet6"/>
  <dimension ref="A1:I89"/>
  <sheetViews>
    <sheetView topLeftCell="B1" workbookViewId="0">
      <selection activeCell="E1" sqref="E1"/>
    </sheetView>
  </sheetViews>
  <sheetFormatPr defaultRowHeight="15" x14ac:dyDescent="0.25"/>
  <cols>
    <col min="1" max="1" width="23.140625" bestFit="1" customWidth="1"/>
    <col min="2" max="2" width="14.85546875" bestFit="1" customWidth="1"/>
    <col min="3" max="3" width="36.140625" bestFit="1" customWidth="1"/>
    <col min="4" max="4" width="26.42578125" bestFit="1" customWidth="1"/>
    <col min="5" max="5" width="29.140625" bestFit="1" customWidth="1"/>
    <col min="6" max="7" width="14.7109375" bestFit="1" customWidth="1"/>
    <col min="8" max="8" width="12.85546875" bestFit="1" customWidth="1"/>
  </cols>
  <sheetData>
    <row r="1" spans="1:9" x14ac:dyDescent="0.25">
      <c r="A1" t="s">
        <v>33</v>
      </c>
      <c r="B1" t="s">
        <v>34</v>
      </c>
      <c r="C1" t="s">
        <v>35</v>
      </c>
      <c r="D1" t="s">
        <v>12</v>
      </c>
      <c r="E1" t="s">
        <v>36</v>
      </c>
      <c r="F1" t="s">
        <v>250</v>
      </c>
      <c r="G1" s="13" t="s">
        <v>298</v>
      </c>
      <c r="H1" t="s">
        <v>1</v>
      </c>
      <c r="I1">
        <f>COUNTA(E:E)</f>
        <v>89</v>
      </c>
    </row>
    <row r="2" spans="1:9" x14ac:dyDescent="0.25">
      <c r="A2" t="s">
        <v>3</v>
      </c>
      <c r="B2" s="4">
        <v>44984</v>
      </c>
      <c r="C2" t="s">
        <v>142</v>
      </c>
      <c r="D2" t="s">
        <v>143</v>
      </c>
      <c r="E2" t="s">
        <v>37</v>
      </c>
      <c r="F2">
        <v>93</v>
      </c>
      <c r="G2" s="13">
        <f>_1___Inbound_Calls_Last_7___Yosem[[#This Row],[Call Duration]]/60</f>
        <v>1.55</v>
      </c>
    </row>
    <row r="3" spans="1:9" x14ac:dyDescent="0.25">
      <c r="A3" t="s">
        <v>3</v>
      </c>
      <c r="B3" s="4">
        <v>44984</v>
      </c>
      <c r="C3" t="s">
        <v>105</v>
      </c>
      <c r="D3" t="s">
        <v>144</v>
      </c>
      <c r="E3" t="s">
        <v>37</v>
      </c>
      <c r="F3">
        <v>2306</v>
      </c>
      <c r="G3" s="13">
        <f>_1___Inbound_Calls_Last_7___Yosem[[#This Row],[Call Duration]]/60</f>
        <v>38.43333333333333</v>
      </c>
      <c r="H3" t="s">
        <v>299</v>
      </c>
      <c r="I3" s="13">
        <f>AVERAGE(G$2:G$1048576)</f>
        <v>6.1392045454545459</v>
      </c>
    </row>
    <row r="4" spans="1:9" x14ac:dyDescent="0.25">
      <c r="A4" t="s">
        <v>3</v>
      </c>
      <c r="B4" s="4">
        <v>44984</v>
      </c>
      <c r="C4" t="s">
        <v>134</v>
      </c>
      <c r="D4" t="s">
        <v>251</v>
      </c>
      <c r="E4" t="s">
        <v>37</v>
      </c>
      <c r="F4">
        <v>900</v>
      </c>
      <c r="G4" s="13">
        <f>_1___Inbound_Calls_Last_7___Yosem[[#This Row],[Call Duration]]/60</f>
        <v>15</v>
      </c>
    </row>
    <row r="5" spans="1:9" x14ac:dyDescent="0.25">
      <c r="A5" t="s">
        <v>3</v>
      </c>
      <c r="B5" s="4">
        <v>44984</v>
      </c>
      <c r="C5" t="s">
        <v>252</v>
      </c>
      <c r="D5" t="s">
        <v>253</v>
      </c>
      <c r="E5" t="s">
        <v>254</v>
      </c>
      <c r="F5">
        <v>490</v>
      </c>
      <c r="G5" s="13">
        <f>_1___Inbound_Calls_Last_7___Yosem[[#This Row],[Call Duration]]/60</f>
        <v>8.1666666666666661</v>
      </c>
    </row>
    <row r="6" spans="1:9" x14ac:dyDescent="0.25">
      <c r="A6" t="s">
        <v>3</v>
      </c>
      <c r="B6" s="4">
        <v>44984</v>
      </c>
      <c r="C6" t="s">
        <v>252</v>
      </c>
      <c r="D6" t="s">
        <v>255</v>
      </c>
      <c r="E6" t="s">
        <v>37</v>
      </c>
      <c r="F6">
        <v>103</v>
      </c>
      <c r="G6" s="13">
        <f>_1___Inbound_Calls_Last_7___Yosem[[#This Row],[Call Duration]]/60</f>
        <v>1.7166666666666666</v>
      </c>
    </row>
    <row r="7" spans="1:9" x14ac:dyDescent="0.25">
      <c r="A7" t="s">
        <v>3</v>
      </c>
      <c r="B7" s="4">
        <v>44985</v>
      </c>
      <c r="C7" t="s">
        <v>37</v>
      </c>
      <c r="D7" t="s">
        <v>256</v>
      </c>
      <c r="E7" t="s">
        <v>106</v>
      </c>
      <c r="F7">
        <v>227</v>
      </c>
      <c r="G7" s="13">
        <f>_1___Inbound_Calls_Last_7___Yosem[[#This Row],[Call Duration]]/60</f>
        <v>3.7833333333333332</v>
      </c>
    </row>
    <row r="8" spans="1:9" x14ac:dyDescent="0.25">
      <c r="A8" t="s">
        <v>3</v>
      </c>
      <c r="B8" s="4">
        <v>44985</v>
      </c>
      <c r="C8" t="s">
        <v>37</v>
      </c>
      <c r="D8" t="s">
        <v>257</v>
      </c>
      <c r="E8" t="s">
        <v>37</v>
      </c>
      <c r="F8">
        <v>197</v>
      </c>
      <c r="G8" s="13">
        <f>_1___Inbound_Calls_Last_7___Yosem[[#This Row],[Call Duration]]/60</f>
        <v>3.2833333333333332</v>
      </c>
    </row>
    <row r="9" spans="1:9" x14ac:dyDescent="0.25">
      <c r="A9" t="s">
        <v>3</v>
      </c>
      <c r="B9" s="4">
        <v>44985</v>
      </c>
      <c r="C9" t="s">
        <v>37</v>
      </c>
      <c r="D9" t="s">
        <v>258</v>
      </c>
      <c r="E9" t="s">
        <v>37</v>
      </c>
      <c r="F9">
        <v>239</v>
      </c>
      <c r="G9" s="13">
        <f>_1___Inbound_Calls_Last_7___Yosem[[#This Row],[Call Duration]]/60</f>
        <v>3.9833333333333334</v>
      </c>
    </row>
    <row r="10" spans="1:9" x14ac:dyDescent="0.25">
      <c r="A10" t="s">
        <v>3</v>
      </c>
      <c r="B10" s="4">
        <v>44985</v>
      </c>
      <c r="C10" t="s">
        <v>259</v>
      </c>
      <c r="D10" t="s">
        <v>260</v>
      </c>
      <c r="E10" t="s">
        <v>37</v>
      </c>
      <c r="F10">
        <v>325</v>
      </c>
      <c r="G10" s="13">
        <f>_1___Inbound_Calls_Last_7___Yosem[[#This Row],[Call Duration]]/60</f>
        <v>5.416666666666667</v>
      </c>
    </row>
    <row r="11" spans="1:9" x14ac:dyDescent="0.25">
      <c r="A11" t="s">
        <v>3</v>
      </c>
      <c r="B11" s="4">
        <v>44985</v>
      </c>
      <c r="C11" t="s">
        <v>261</v>
      </c>
      <c r="D11" t="s">
        <v>262</v>
      </c>
      <c r="E11" t="s">
        <v>37</v>
      </c>
      <c r="F11">
        <v>47</v>
      </c>
      <c r="G11" s="13">
        <f>_1___Inbound_Calls_Last_7___Yosem[[#This Row],[Call Duration]]/60</f>
        <v>0.78333333333333333</v>
      </c>
    </row>
    <row r="12" spans="1:9" x14ac:dyDescent="0.25">
      <c r="A12" t="s">
        <v>3</v>
      </c>
      <c r="B12" s="4">
        <v>44985</v>
      </c>
      <c r="C12" t="s">
        <v>96</v>
      </c>
      <c r="D12" t="s">
        <v>263</v>
      </c>
      <c r="E12" t="s">
        <v>37</v>
      </c>
      <c r="F12">
        <v>391</v>
      </c>
      <c r="G12" s="13">
        <f>_1___Inbound_Calls_Last_7___Yosem[[#This Row],[Call Duration]]/60</f>
        <v>6.5166666666666666</v>
      </c>
    </row>
    <row r="13" spans="1:9" x14ac:dyDescent="0.25">
      <c r="A13" t="s">
        <v>3</v>
      </c>
      <c r="B13" s="4">
        <v>44986</v>
      </c>
      <c r="C13" t="s">
        <v>37</v>
      </c>
      <c r="D13" t="s">
        <v>300</v>
      </c>
      <c r="E13" t="s">
        <v>301</v>
      </c>
      <c r="F13">
        <v>360</v>
      </c>
      <c r="G13" s="13">
        <f>_1___Inbound_Calls_Last_7___Yosem[[#This Row],[Call Duration]]/60</f>
        <v>6</v>
      </c>
    </row>
    <row r="14" spans="1:9" x14ac:dyDescent="0.25">
      <c r="A14" t="s">
        <v>3</v>
      </c>
      <c r="B14" s="4">
        <v>44986</v>
      </c>
      <c r="C14" t="s">
        <v>302</v>
      </c>
      <c r="D14" t="s">
        <v>303</v>
      </c>
      <c r="E14" t="s">
        <v>37</v>
      </c>
      <c r="F14">
        <v>40</v>
      </c>
      <c r="G14" s="13">
        <f>_1___Inbound_Calls_Last_7___Yosem[[#This Row],[Call Duration]]/60</f>
        <v>0.66666666666666663</v>
      </c>
    </row>
    <row r="15" spans="1:9" x14ac:dyDescent="0.25">
      <c r="A15" t="s">
        <v>3</v>
      </c>
      <c r="B15" s="4">
        <v>44986</v>
      </c>
      <c r="C15" t="s">
        <v>302</v>
      </c>
      <c r="D15" t="s">
        <v>304</v>
      </c>
      <c r="E15" t="s">
        <v>37</v>
      </c>
      <c r="F15">
        <v>498</v>
      </c>
      <c r="G15" s="13">
        <f>_1___Inbound_Calls_Last_7___Yosem[[#This Row],[Call Duration]]/60</f>
        <v>8.3000000000000007</v>
      </c>
    </row>
    <row r="16" spans="1:9" x14ac:dyDescent="0.25">
      <c r="A16" t="s">
        <v>3</v>
      </c>
      <c r="B16" s="4">
        <v>44986</v>
      </c>
      <c r="C16" t="s">
        <v>305</v>
      </c>
      <c r="D16" t="s">
        <v>306</v>
      </c>
      <c r="E16" t="s">
        <v>37</v>
      </c>
      <c r="F16">
        <v>65</v>
      </c>
      <c r="G16" s="13">
        <f>_1___Inbound_Calls_Last_7___Yosem[[#This Row],[Call Duration]]/60</f>
        <v>1.0833333333333333</v>
      </c>
    </row>
    <row r="17" spans="1:7" x14ac:dyDescent="0.25">
      <c r="A17" t="s">
        <v>3</v>
      </c>
      <c r="B17" s="4">
        <v>44987</v>
      </c>
      <c r="C17" t="s">
        <v>37</v>
      </c>
      <c r="D17" t="s">
        <v>307</v>
      </c>
      <c r="E17" t="s">
        <v>37</v>
      </c>
      <c r="F17">
        <v>701</v>
      </c>
      <c r="G17" s="13">
        <f>_1___Inbound_Calls_Last_7___Yosem[[#This Row],[Call Duration]]/60</f>
        <v>11.683333333333334</v>
      </c>
    </row>
    <row r="18" spans="1:7" x14ac:dyDescent="0.25">
      <c r="A18" t="s">
        <v>3</v>
      </c>
      <c r="B18" s="4">
        <v>44987</v>
      </c>
      <c r="C18" t="s">
        <v>308</v>
      </c>
      <c r="D18" t="s">
        <v>309</v>
      </c>
      <c r="E18" t="s">
        <v>37</v>
      </c>
      <c r="F18">
        <v>351</v>
      </c>
      <c r="G18" s="13">
        <f>_1___Inbound_Calls_Last_7___Yosem[[#This Row],[Call Duration]]/60</f>
        <v>5.85</v>
      </c>
    </row>
    <row r="19" spans="1:7" x14ac:dyDescent="0.25">
      <c r="A19" t="s">
        <v>3</v>
      </c>
      <c r="B19" s="4">
        <v>44987</v>
      </c>
      <c r="C19" t="s">
        <v>310</v>
      </c>
      <c r="D19" t="s">
        <v>311</v>
      </c>
      <c r="E19" t="s">
        <v>37</v>
      </c>
      <c r="F19">
        <v>510</v>
      </c>
      <c r="G19" s="13">
        <f>_1___Inbound_Calls_Last_7___Yosem[[#This Row],[Call Duration]]/60</f>
        <v>8.5</v>
      </c>
    </row>
    <row r="20" spans="1:7" x14ac:dyDescent="0.25">
      <c r="A20" t="s">
        <v>3</v>
      </c>
      <c r="B20" s="4">
        <v>44987</v>
      </c>
      <c r="C20" t="s">
        <v>136</v>
      </c>
      <c r="D20" t="s">
        <v>312</v>
      </c>
      <c r="E20" t="s">
        <v>37</v>
      </c>
      <c r="F20">
        <v>46</v>
      </c>
      <c r="G20" s="13">
        <f>_1___Inbound_Calls_Last_7___Yosem[[#This Row],[Call Duration]]/60</f>
        <v>0.76666666666666672</v>
      </c>
    </row>
    <row r="21" spans="1:7" x14ac:dyDescent="0.25">
      <c r="A21" t="s">
        <v>3</v>
      </c>
      <c r="B21" s="4">
        <v>44987</v>
      </c>
      <c r="C21" t="s">
        <v>135</v>
      </c>
      <c r="D21" t="s">
        <v>313</v>
      </c>
      <c r="E21" t="s">
        <v>37</v>
      </c>
      <c r="F21">
        <v>141</v>
      </c>
      <c r="G21" s="13">
        <f>_1___Inbound_Calls_Last_7___Yosem[[#This Row],[Call Duration]]/60</f>
        <v>2.35</v>
      </c>
    </row>
    <row r="22" spans="1:7" x14ac:dyDescent="0.25">
      <c r="A22" t="s">
        <v>3</v>
      </c>
      <c r="B22" s="4">
        <v>44987</v>
      </c>
      <c r="C22" t="s">
        <v>305</v>
      </c>
      <c r="D22" t="s">
        <v>314</v>
      </c>
      <c r="E22" t="s">
        <v>37</v>
      </c>
      <c r="F22">
        <v>175</v>
      </c>
      <c r="G22" s="13">
        <f>_1___Inbound_Calls_Last_7___Yosem[[#This Row],[Call Duration]]/60</f>
        <v>2.9166666666666665</v>
      </c>
    </row>
    <row r="23" spans="1:7" x14ac:dyDescent="0.25">
      <c r="A23" t="s">
        <v>3</v>
      </c>
      <c r="B23" s="4">
        <v>44987</v>
      </c>
      <c r="C23" t="s">
        <v>315</v>
      </c>
      <c r="D23" t="s">
        <v>316</v>
      </c>
      <c r="E23" t="s">
        <v>37</v>
      </c>
      <c r="F23">
        <v>141</v>
      </c>
      <c r="G23" s="13">
        <f>_1___Inbound_Calls_Last_7___Yosem[[#This Row],[Call Duration]]/60</f>
        <v>2.35</v>
      </c>
    </row>
    <row r="24" spans="1:7" x14ac:dyDescent="0.25">
      <c r="A24" t="s">
        <v>3</v>
      </c>
      <c r="B24" s="4">
        <v>44987</v>
      </c>
      <c r="C24" t="s">
        <v>37</v>
      </c>
      <c r="D24" t="s">
        <v>317</v>
      </c>
      <c r="E24" t="s">
        <v>37</v>
      </c>
      <c r="F24">
        <v>321</v>
      </c>
      <c r="G24" s="13">
        <f>_1___Inbound_Calls_Last_7___Yosem[[#This Row],[Call Duration]]/60</f>
        <v>5.35</v>
      </c>
    </row>
    <row r="25" spans="1:7" x14ac:dyDescent="0.25">
      <c r="A25" t="s">
        <v>3</v>
      </c>
      <c r="B25" s="4">
        <v>44987</v>
      </c>
      <c r="C25" t="s">
        <v>134</v>
      </c>
      <c r="D25" t="s">
        <v>318</v>
      </c>
      <c r="E25" t="s">
        <v>37</v>
      </c>
      <c r="F25">
        <v>41</v>
      </c>
      <c r="G25" s="13">
        <f>_1___Inbound_Calls_Last_7___Yosem[[#This Row],[Call Duration]]/60</f>
        <v>0.68333333333333335</v>
      </c>
    </row>
    <row r="26" spans="1:7" x14ac:dyDescent="0.25">
      <c r="A26" t="s">
        <v>3</v>
      </c>
      <c r="B26" s="4">
        <v>44987</v>
      </c>
      <c r="C26" t="s">
        <v>319</v>
      </c>
      <c r="D26" t="s">
        <v>320</v>
      </c>
      <c r="E26" t="s">
        <v>37</v>
      </c>
      <c r="F26">
        <v>385</v>
      </c>
      <c r="G26" s="13">
        <f>_1___Inbound_Calls_Last_7___Yosem[[#This Row],[Call Duration]]/60</f>
        <v>6.416666666666667</v>
      </c>
    </row>
    <row r="27" spans="1:7" x14ac:dyDescent="0.25">
      <c r="A27" t="s">
        <v>3</v>
      </c>
      <c r="B27" s="4">
        <v>44988</v>
      </c>
      <c r="C27" t="s">
        <v>321</v>
      </c>
      <c r="D27" t="s">
        <v>322</v>
      </c>
      <c r="E27" t="s">
        <v>37</v>
      </c>
      <c r="F27">
        <v>198</v>
      </c>
      <c r="G27" s="13">
        <f>_1___Inbound_Calls_Last_7___Yosem[[#This Row],[Call Duration]]/60</f>
        <v>3.3</v>
      </c>
    </row>
    <row r="28" spans="1:7" x14ac:dyDescent="0.25">
      <c r="A28" t="s">
        <v>3</v>
      </c>
      <c r="B28" s="4">
        <v>44988</v>
      </c>
      <c r="C28" t="s">
        <v>323</v>
      </c>
      <c r="D28" t="s">
        <v>324</v>
      </c>
      <c r="E28" t="s">
        <v>37</v>
      </c>
      <c r="F28">
        <v>241</v>
      </c>
      <c r="G28" s="13">
        <f>_1___Inbound_Calls_Last_7___Yosem[[#This Row],[Call Duration]]/60</f>
        <v>4.0166666666666666</v>
      </c>
    </row>
    <row r="29" spans="1:7" x14ac:dyDescent="0.25">
      <c r="A29" t="s">
        <v>3</v>
      </c>
      <c r="B29" s="4">
        <v>44988</v>
      </c>
      <c r="C29" t="s">
        <v>325</v>
      </c>
      <c r="D29" t="s">
        <v>326</v>
      </c>
      <c r="E29" t="s">
        <v>37</v>
      </c>
      <c r="F29">
        <v>59</v>
      </c>
      <c r="G29" s="13">
        <f>_1___Inbound_Calls_Last_7___Yosem[[#This Row],[Call Duration]]/60</f>
        <v>0.98333333333333328</v>
      </c>
    </row>
    <row r="30" spans="1:7" x14ac:dyDescent="0.25">
      <c r="A30" t="s">
        <v>5</v>
      </c>
      <c r="B30" s="4">
        <v>44984</v>
      </c>
      <c r="C30" t="s">
        <v>37</v>
      </c>
      <c r="D30" t="s">
        <v>264</v>
      </c>
      <c r="E30" t="s">
        <v>265</v>
      </c>
      <c r="F30">
        <v>137</v>
      </c>
      <c r="G30" s="13">
        <f>_1___Inbound_Calls_Last_7___Yosem[[#This Row],[Call Duration]]/60</f>
        <v>2.2833333333333332</v>
      </c>
    </row>
    <row r="31" spans="1:7" x14ac:dyDescent="0.25">
      <c r="A31" t="s">
        <v>5</v>
      </c>
      <c r="B31" s="4">
        <v>44984</v>
      </c>
      <c r="C31" t="s">
        <v>37</v>
      </c>
      <c r="D31" t="s">
        <v>266</v>
      </c>
      <c r="E31" t="s">
        <v>267</v>
      </c>
      <c r="F31">
        <v>133</v>
      </c>
      <c r="G31" s="13">
        <f>_1___Inbound_Calls_Last_7___Yosem[[#This Row],[Call Duration]]/60</f>
        <v>2.2166666666666668</v>
      </c>
    </row>
    <row r="32" spans="1:7" x14ac:dyDescent="0.25">
      <c r="A32" t="s">
        <v>5</v>
      </c>
      <c r="B32" s="4">
        <v>44984</v>
      </c>
      <c r="C32" t="s">
        <v>268</v>
      </c>
      <c r="D32" t="s">
        <v>269</v>
      </c>
      <c r="E32" t="s">
        <v>270</v>
      </c>
      <c r="F32">
        <v>279</v>
      </c>
      <c r="G32" s="13">
        <f>_1___Inbound_Calls_Last_7___Yosem[[#This Row],[Call Duration]]/60</f>
        <v>4.6500000000000004</v>
      </c>
    </row>
    <row r="33" spans="1:7" x14ac:dyDescent="0.25">
      <c r="A33" t="s">
        <v>5</v>
      </c>
      <c r="B33" s="4">
        <v>44984</v>
      </c>
      <c r="C33" t="s">
        <v>271</v>
      </c>
      <c r="D33" t="s">
        <v>272</v>
      </c>
      <c r="E33" t="s">
        <v>273</v>
      </c>
      <c r="F33">
        <v>507</v>
      </c>
      <c r="G33" s="13">
        <f>_1___Inbound_Calls_Last_7___Yosem[[#This Row],[Call Duration]]/60</f>
        <v>8.4499999999999993</v>
      </c>
    </row>
    <row r="34" spans="1:7" x14ac:dyDescent="0.25">
      <c r="A34" t="s">
        <v>5</v>
      </c>
      <c r="B34" s="4">
        <v>44984</v>
      </c>
      <c r="C34" t="s">
        <v>274</v>
      </c>
      <c r="D34" t="s">
        <v>275</v>
      </c>
      <c r="E34" t="s">
        <v>276</v>
      </c>
      <c r="F34">
        <v>2304</v>
      </c>
      <c r="G34" s="13">
        <f>_1___Inbound_Calls_Last_7___Yosem[[#This Row],[Call Duration]]/60</f>
        <v>38.4</v>
      </c>
    </row>
    <row r="35" spans="1:7" x14ac:dyDescent="0.25">
      <c r="A35" t="s">
        <v>5</v>
      </c>
      <c r="B35" s="4">
        <v>44984</v>
      </c>
      <c r="C35" t="s">
        <v>274</v>
      </c>
      <c r="D35" t="s">
        <v>277</v>
      </c>
      <c r="E35" t="s">
        <v>273</v>
      </c>
      <c r="F35">
        <v>567</v>
      </c>
      <c r="G35" s="13">
        <f>_1___Inbound_Calls_Last_7___Yosem[[#This Row],[Call Duration]]/60</f>
        <v>9.4499999999999993</v>
      </c>
    </row>
    <row r="36" spans="1:7" x14ac:dyDescent="0.25">
      <c r="A36" t="s">
        <v>5</v>
      </c>
      <c r="B36" s="4">
        <v>44985</v>
      </c>
      <c r="C36" t="s">
        <v>134</v>
      </c>
      <c r="D36" t="s">
        <v>278</v>
      </c>
      <c r="E36" t="s">
        <v>126</v>
      </c>
      <c r="F36">
        <v>364</v>
      </c>
      <c r="G36" s="13">
        <f>_1___Inbound_Calls_Last_7___Yosem[[#This Row],[Call Duration]]/60</f>
        <v>6.0666666666666664</v>
      </c>
    </row>
    <row r="37" spans="1:7" x14ac:dyDescent="0.25">
      <c r="A37" t="s">
        <v>5</v>
      </c>
      <c r="B37" s="4">
        <v>44985</v>
      </c>
      <c r="C37" t="s">
        <v>37</v>
      </c>
      <c r="D37" t="s">
        <v>279</v>
      </c>
      <c r="E37" t="s">
        <v>280</v>
      </c>
      <c r="F37">
        <v>691</v>
      </c>
      <c r="G37" s="13">
        <f>_1___Inbound_Calls_Last_7___Yosem[[#This Row],[Call Duration]]/60</f>
        <v>11.516666666666667</v>
      </c>
    </row>
    <row r="38" spans="1:7" x14ac:dyDescent="0.25">
      <c r="A38" t="s">
        <v>5</v>
      </c>
      <c r="B38" s="4">
        <v>44985</v>
      </c>
      <c r="C38" t="s">
        <v>281</v>
      </c>
      <c r="D38" t="s">
        <v>282</v>
      </c>
      <c r="E38" t="s">
        <v>283</v>
      </c>
      <c r="F38">
        <v>250</v>
      </c>
      <c r="G38" s="13">
        <f>_1___Inbound_Calls_Last_7___Yosem[[#This Row],[Call Duration]]/60</f>
        <v>4.166666666666667</v>
      </c>
    </row>
    <row r="39" spans="1:7" x14ac:dyDescent="0.25">
      <c r="A39" t="s">
        <v>5</v>
      </c>
      <c r="B39" s="4">
        <v>44985</v>
      </c>
      <c r="C39" t="s">
        <v>261</v>
      </c>
      <c r="D39" t="s">
        <v>284</v>
      </c>
      <c r="E39" t="s">
        <v>37</v>
      </c>
      <c r="F39">
        <v>293</v>
      </c>
      <c r="G39" s="13">
        <f>_1___Inbound_Calls_Last_7___Yosem[[#This Row],[Call Duration]]/60</f>
        <v>4.8833333333333337</v>
      </c>
    </row>
    <row r="40" spans="1:7" x14ac:dyDescent="0.25">
      <c r="A40" t="s">
        <v>5</v>
      </c>
      <c r="B40" s="4">
        <v>44985</v>
      </c>
      <c r="C40" t="s">
        <v>261</v>
      </c>
      <c r="D40" t="s">
        <v>285</v>
      </c>
      <c r="E40" t="s">
        <v>37</v>
      </c>
      <c r="F40">
        <v>547</v>
      </c>
      <c r="G40" s="13">
        <f>_1___Inbound_Calls_Last_7___Yosem[[#This Row],[Call Duration]]/60</f>
        <v>9.1166666666666671</v>
      </c>
    </row>
    <row r="41" spans="1:7" x14ac:dyDescent="0.25">
      <c r="A41" t="s">
        <v>5</v>
      </c>
      <c r="B41" s="4">
        <v>44985</v>
      </c>
      <c r="C41" t="s">
        <v>261</v>
      </c>
      <c r="D41" t="s">
        <v>286</v>
      </c>
      <c r="E41" t="s">
        <v>129</v>
      </c>
      <c r="F41">
        <v>301</v>
      </c>
      <c r="G41" s="13">
        <f>_1___Inbound_Calls_Last_7___Yosem[[#This Row],[Call Duration]]/60</f>
        <v>5.0166666666666666</v>
      </c>
    </row>
    <row r="42" spans="1:7" x14ac:dyDescent="0.25">
      <c r="A42" t="s">
        <v>5</v>
      </c>
      <c r="B42" s="4">
        <v>44986</v>
      </c>
      <c r="C42" t="s">
        <v>327</v>
      </c>
      <c r="D42" t="s">
        <v>328</v>
      </c>
      <c r="E42" t="s">
        <v>329</v>
      </c>
      <c r="F42">
        <v>366</v>
      </c>
      <c r="G42" s="13">
        <f>_1___Inbound_Calls_Last_7___Yosem[[#This Row],[Call Duration]]/60</f>
        <v>6.1</v>
      </c>
    </row>
    <row r="43" spans="1:7" x14ac:dyDescent="0.25">
      <c r="A43" t="s">
        <v>5</v>
      </c>
      <c r="B43" s="4">
        <v>44986</v>
      </c>
      <c r="C43" t="s">
        <v>325</v>
      </c>
      <c r="D43" t="s">
        <v>330</v>
      </c>
      <c r="E43" t="s">
        <v>37</v>
      </c>
      <c r="F43">
        <v>962</v>
      </c>
      <c r="G43" s="13">
        <f>_1___Inbound_Calls_Last_7___Yosem[[#This Row],[Call Duration]]/60</f>
        <v>16.033333333333335</v>
      </c>
    </row>
    <row r="44" spans="1:7" x14ac:dyDescent="0.25">
      <c r="A44" t="s">
        <v>5</v>
      </c>
      <c r="B44" s="4">
        <v>44987</v>
      </c>
      <c r="C44" t="s">
        <v>305</v>
      </c>
      <c r="D44" t="s">
        <v>331</v>
      </c>
      <c r="E44" t="s">
        <v>37</v>
      </c>
      <c r="F44">
        <v>113</v>
      </c>
      <c r="G44" s="13">
        <f>_1___Inbound_Calls_Last_7___Yosem[[#This Row],[Call Duration]]/60</f>
        <v>1.8833333333333333</v>
      </c>
    </row>
    <row r="45" spans="1:7" x14ac:dyDescent="0.25">
      <c r="A45" t="s">
        <v>5</v>
      </c>
      <c r="B45" s="4">
        <v>44987</v>
      </c>
      <c r="C45" t="s">
        <v>114</v>
      </c>
      <c r="D45" t="s">
        <v>332</v>
      </c>
      <c r="E45" t="s">
        <v>37</v>
      </c>
      <c r="F45">
        <v>412</v>
      </c>
      <c r="G45" s="13">
        <f>_1___Inbound_Calls_Last_7___Yosem[[#This Row],[Call Duration]]/60</f>
        <v>6.8666666666666663</v>
      </c>
    </row>
    <row r="46" spans="1:7" x14ac:dyDescent="0.25">
      <c r="A46" t="s">
        <v>5</v>
      </c>
      <c r="B46" s="4">
        <v>44987</v>
      </c>
      <c r="C46" t="s">
        <v>114</v>
      </c>
      <c r="D46" t="s">
        <v>333</v>
      </c>
      <c r="E46" t="s">
        <v>37</v>
      </c>
      <c r="F46">
        <v>716</v>
      </c>
      <c r="G46" s="13">
        <f>_1___Inbound_Calls_Last_7___Yosem[[#This Row],[Call Duration]]/60</f>
        <v>11.933333333333334</v>
      </c>
    </row>
    <row r="47" spans="1:7" x14ac:dyDescent="0.25">
      <c r="A47" t="s">
        <v>5</v>
      </c>
      <c r="B47" s="4">
        <v>44987</v>
      </c>
      <c r="C47" t="s">
        <v>334</v>
      </c>
      <c r="D47" t="s">
        <v>335</v>
      </c>
      <c r="E47" t="s">
        <v>37</v>
      </c>
      <c r="F47">
        <v>92</v>
      </c>
      <c r="G47" s="13">
        <f>_1___Inbound_Calls_Last_7___Yosem[[#This Row],[Call Duration]]/60</f>
        <v>1.5333333333333334</v>
      </c>
    </row>
    <row r="48" spans="1:7" x14ac:dyDescent="0.25">
      <c r="A48" t="s">
        <v>5</v>
      </c>
      <c r="B48" s="4">
        <v>44987</v>
      </c>
      <c r="C48" t="s">
        <v>305</v>
      </c>
      <c r="D48" t="s">
        <v>336</v>
      </c>
      <c r="E48" t="s">
        <v>337</v>
      </c>
      <c r="F48">
        <v>336</v>
      </c>
      <c r="G48" s="13">
        <f>_1___Inbound_Calls_Last_7___Yosem[[#This Row],[Call Duration]]/60</f>
        <v>5.6</v>
      </c>
    </row>
    <row r="49" spans="1:7" x14ac:dyDescent="0.25">
      <c r="A49" t="s">
        <v>5</v>
      </c>
      <c r="B49" s="4">
        <v>44987</v>
      </c>
      <c r="C49" t="s">
        <v>338</v>
      </c>
      <c r="D49" t="s">
        <v>339</v>
      </c>
      <c r="E49" t="s">
        <v>37</v>
      </c>
      <c r="F49">
        <v>232</v>
      </c>
      <c r="G49" s="13">
        <f>_1___Inbound_Calls_Last_7___Yosem[[#This Row],[Call Duration]]/60</f>
        <v>3.8666666666666667</v>
      </c>
    </row>
    <row r="50" spans="1:7" x14ac:dyDescent="0.25">
      <c r="A50" t="s">
        <v>5</v>
      </c>
      <c r="B50" s="4">
        <v>44987</v>
      </c>
      <c r="C50" t="s">
        <v>325</v>
      </c>
      <c r="D50" t="s">
        <v>340</v>
      </c>
      <c r="E50" t="s">
        <v>37</v>
      </c>
      <c r="F50">
        <v>551</v>
      </c>
      <c r="G50" s="13">
        <f>_1___Inbound_Calls_Last_7___Yosem[[#This Row],[Call Duration]]/60</f>
        <v>9.1833333333333336</v>
      </c>
    </row>
    <row r="51" spans="1:7" x14ac:dyDescent="0.25">
      <c r="A51" t="s">
        <v>5</v>
      </c>
      <c r="B51" s="4">
        <v>44987</v>
      </c>
      <c r="C51" t="s">
        <v>341</v>
      </c>
      <c r="D51" t="s">
        <v>342</v>
      </c>
      <c r="E51" t="s">
        <v>37</v>
      </c>
      <c r="F51">
        <v>368</v>
      </c>
      <c r="G51" s="13">
        <f>_1___Inbound_Calls_Last_7___Yosem[[#This Row],[Call Duration]]/60</f>
        <v>6.1333333333333337</v>
      </c>
    </row>
    <row r="52" spans="1:7" x14ac:dyDescent="0.25">
      <c r="A52" t="s">
        <v>5</v>
      </c>
      <c r="B52" s="4">
        <v>44987</v>
      </c>
      <c r="C52" t="s">
        <v>145</v>
      </c>
      <c r="D52" t="s">
        <v>343</v>
      </c>
      <c r="E52" t="s">
        <v>37</v>
      </c>
      <c r="F52">
        <v>327</v>
      </c>
      <c r="G52" s="13">
        <f>_1___Inbound_Calls_Last_7___Yosem[[#This Row],[Call Duration]]/60</f>
        <v>5.45</v>
      </c>
    </row>
    <row r="53" spans="1:7" x14ac:dyDescent="0.25">
      <c r="A53" t="s">
        <v>2</v>
      </c>
      <c r="B53" s="4">
        <v>44984</v>
      </c>
      <c r="C53" t="s">
        <v>150</v>
      </c>
      <c r="D53" t="s">
        <v>151</v>
      </c>
      <c r="E53" t="s">
        <v>152</v>
      </c>
      <c r="F53">
        <v>930</v>
      </c>
      <c r="G53" s="13">
        <f>_1___Inbound_Calls_Last_7___Yosem[[#This Row],[Call Duration]]/60</f>
        <v>15.5</v>
      </c>
    </row>
    <row r="54" spans="1:7" x14ac:dyDescent="0.25">
      <c r="A54" t="s">
        <v>2</v>
      </c>
      <c r="B54" s="4">
        <v>44984</v>
      </c>
      <c r="C54" t="s">
        <v>153</v>
      </c>
      <c r="D54" t="s">
        <v>154</v>
      </c>
      <c r="E54" t="s">
        <v>155</v>
      </c>
      <c r="F54">
        <v>531</v>
      </c>
      <c r="G54" s="13">
        <f>_1___Inbound_Calls_Last_7___Yosem[[#This Row],[Call Duration]]/60</f>
        <v>8.85</v>
      </c>
    </row>
    <row r="55" spans="1:7" x14ac:dyDescent="0.25">
      <c r="A55" t="s">
        <v>2</v>
      </c>
      <c r="B55" s="4">
        <v>44984</v>
      </c>
      <c r="C55" t="s">
        <v>156</v>
      </c>
      <c r="D55" t="s">
        <v>157</v>
      </c>
      <c r="E55" t="s">
        <v>158</v>
      </c>
      <c r="F55">
        <v>257</v>
      </c>
      <c r="G55" s="13">
        <f>_1___Inbound_Calls_Last_7___Yosem[[#This Row],[Call Duration]]/60</f>
        <v>4.2833333333333332</v>
      </c>
    </row>
    <row r="56" spans="1:7" x14ac:dyDescent="0.25">
      <c r="A56" t="s">
        <v>2</v>
      </c>
      <c r="B56" s="4">
        <v>44984</v>
      </c>
      <c r="C56" t="s">
        <v>159</v>
      </c>
      <c r="D56" t="s">
        <v>160</v>
      </c>
      <c r="E56" t="s">
        <v>138</v>
      </c>
      <c r="F56">
        <v>848</v>
      </c>
      <c r="G56" s="13">
        <f>_1___Inbound_Calls_Last_7___Yosem[[#This Row],[Call Duration]]/60</f>
        <v>14.133333333333333</v>
      </c>
    </row>
    <row r="57" spans="1:7" x14ac:dyDescent="0.25">
      <c r="A57" t="s">
        <v>2</v>
      </c>
      <c r="B57" s="4">
        <v>44984</v>
      </c>
      <c r="C57" t="s">
        <v>37</v>
      </c>
      <c r="D57" t="s">
        <v>287</v>
      </c>
      <c r="E57" t="s">
        <v>211</v>
      </c>
      <c r="F57">
        <v>112</v>
      </c>
      <c r="G57" s="13">
        <f>_1___Inbound_Calls_Last_7___Yosem[[#This Row],[Call Duration]]/60</f>
        <v>1.8666666666666667</v>
      </c>
    </row>
    <row r="58" spans="1:7" x14ac:dyDescent="0.25">
      <c r="A58" t="s">
        <v>2</v>
      </c>
      <c r="B58" s="4">
        <v>44985</v>
      </c>
      <c r="C58" t="s">
        <v>288</v>
      </c>
      <c r="D58" t="s">
        <v>289</v>
      </c>
      <c r="E58" t="s">
        <v>37</v>
      </c>
      <c r="F58">
        <v>490</v>
      </c>
      <c r="G58" s="13">
        <f>_1___Inbound_Calls_Last_7___Yosem[[#This Row],[Call Duration]]/60</f>
        <v>8.1666666666666661</v>
      </c>
    </row>
    <row r="59" spans="1:7" x14ac:dyDescent="0.25">
      <c r="A59" t="s">
        <v>2</v>
      </c>
      <c r="B59" s="4">
        <v>44985</v>
      </c>
      <c r="C59" t="s">
        <v>290</v>
      </c>
      <c r="D59" t="s">
        <v>291</v>
      </c>
      <c r="E59" t="s">
        <v>37</v>
      </c>
      <c r="F59">
        <v>127</v>
      </c>
      <c r="G59" s="13">
        <f>_1___Inbound_Calls_Last_7___Yosem[[#This Row],[Call Duration]]/60</f>
        <v>2.1166666666666667</v>
      </c>
    </row>
    <row r="60" spans="1:7" x14ac:dyDescent="0.25">
      <c r="A60" t="s">
        <v>2</v>
      </c>
      <c r="B60" s="4">
        <v>44985</v>
      </c>
      <c r="C60" t="s">
        <v>288</v>
      </c>
      <c r="D60" t="s">
        <v>292</v>
      </c>
      <c r="E60" t="s">
        <v>37</v>
      </c>
      <c r="F60">
        <v>485</v>
      </c>
      <c r="G60" s="13">
        <f>_1___Inbound_Calls_Last_7___Yosem[[#This Row],[Call Duration]]/60</f>
        <v>8.0833333333333339</v>
      </c>
    </row>
    <row r="61" spans="1:7" x14ac:dyDescent="0.25">
      <c r="A61" t="s">
        <v>2</v>
      </c>
      <c r="B61" s="4">
        <v>44986</v>
      </c>
      <c r="C61" t="s">
        <v>344</v>
      </c>
      <c r="D61" t="s">
        <v>345</v>
      </c>
      <c r="E61" t="s">
        <v>162</v>
      </c>
      <c r="F61">
        <v>485</v>
      </c>
      <c r="G61" s="13">
        <f>_1___Inbound_Calls_Last_7___Yosem[[#This Row],[Call Duration]]/60</f>
        <v>8.0833333333333339</v>
      </c>
    </row>
    <row r="62" spans="1:7" x14ac:dyDescent="0.25">
      <c r="A62" t="s">
        <v>2</v>
      </c>
      <c r="B62" s="4">
        <v>44986</v>
      </c>
      <c r="C62" t="s">
        <v>321</v>
      </c>
      <c r="D62" t="s">
        <v>346</v>
      </c>
      <c r="E62" t="s">
        <v>37</v>
      </c>
      <c r="F62">
        <v>222</v>
      </c>
      <c r="G62" s="13">
        <f>_1___Inbound_Calls_Last_7___Yosem[[#This Row],[Call Duration]]/60</f>
        <v>3.7</v>
      </c>
    </row>
    <row r="63" spans="1:7" x14ac:dyDescent="0.25">
      <c r="A63" t="s">
        <v>2</v>
      </c>
      <c r="B63" s="4">
        <v>44986</v>
      </c>
      <c r="C63" t="s">
        <v>321</v>
      </c>
      <c r="D63" t="s">
        <v>347</v>
      </c>
      <c r="E63" t="s">
        <v>37</v>
      </c>
      <c r="F63">
        <v>91</v>
      </c>
      <c r="G63" s="13">
        <f>_1___Inbound_Calls_Last_7___Yosem[[#This Row],[Call Duration]]/60</f>
        <v>1.5166666666666666</v>
      </c>
    </row>
    <row r="64" spans="1:7" x14ac:dyDescent="0.25">
      <c r="A64" t="s">
        <v>2</v>
      </c>
      <c r="B64" s="4">
        <v>44986</v>
      </c>
      <c r="C64" t="s">
        <v>305</v>
      </c>
      <c r="D64" t="s">
        <v>330</v>
      </c>
      <c r="E64" t="s">
        <v>37</v>
      </c>
      <c r="F64">
        <v>151</v>
      </c>
      <c r="G64" s="13">
        <f>_1___Inbound_Calls_Last_7___Yosem[[#This Row],[Call Duration]]/60</f>
        <v>2.5166666666666666</v>
      </c>
    </row>
    <row r="65" spans="1:7" x14ac:dyDescent="0.25">
      <c r="A65" t="s">
        <v>2</v>
      </c>
      <c r="B65" s="4">
        <v>44986</v>
      </c>
      <c r="C65" t="s">
        <v>302</v>
      </c>
      <c r="D65" t="s">
        <v>303</v>
      </c>
      <c r="E65" t="s">
        <v>37</v>
      </c>
      <c r="F65">
        <v>32</v>
      </c>
      <c r="G65" s="13">
        <f>_1___Inbound_Calls_Last_7___Yosem[[#This Row],[Call Duration]]/60</f>
        <v>0.53333333333333333</v>
      </c>
    </row>
    <row r="66" spans="1:7" x14ac:dyDescent="0.25">
      <c r="A66" t="s">
        <v>2</v>
      </c>
      <c r="B66" s="4">
        <v>44986</v>
      </c>
      <c r="C66" t="s">
        <v>302</v>
      </c>
      <c r="D66" t="s">
        <v>348</v>
      </c>
      <c r="E66" t="s">
        <v>37</v>
      </c>
      <c r="F66">
        <v>18</v>
      </c>
      <c r="G66" s="13">
        <f>_1___Inbound_Calls_Last_7___Yosem[[#This Row],[Call Duration]]/60</f>
        <v>0.3</v>
      </c>
    </row>
    <row r="67" spans="1:7" x14ac:dyDescent="0.25">
      <c r="A67" t="s">
        <v>2</v>
      </c>
      <c r="B67" s="4">
        <v>44987</v>
      </c>
      <c r="C67" t="s">
        <v>156</v>
      </c>
      <c r="D67" t="s">
        <v>349</v>
      </c>
      <c r="E67" t="s">
        <v>350</v>
      </c>
      <c r="F67">
        <v>249</v>
      </c>
      <c r="G67" s="13">
        <f>_1___Inbound_Calls_Last_7___Yosem[[#This Row],[Call Duration]]/60</f>
        <v>4.1500000000000004</v>
      </c>
    </row>
    <row r="68" spans="1:7" x14ac:dyDescent="0.25">
      <c r="A68" t="s">
        <v>2</v>
      </c>
      <c r="B68" s="4">
        <v>44987</v>
      </c>
      <c r="C68" t="s">
        <v>119</v>
      </c>
      <c r="D68" t="s">
        <v>351</v>
      </c>
      <c r="E68" t="s">
        <v>37</v>
      </c>
      <c r="F68">
        <v>353</v>
      </c>
      <c r="G68" s="13">
        <f>_1___Inbound_Calls_Last_7___Yosem[[#This Row],[Call Duration]]/60</f>
        <v>5.8833333333333337</v>
      </c>
    </row>
    <row r="69" spans="1:7" x14ac:dyDescent="0.25">
      <c r="A69" t="s">
        <v>2</v>
      </c>
      <c r="B69" s="4">
        <v>44987</v>
      </c>
      <c r="C69" t="s">
        <v>305</v>
      </c>
      <c r="D69" t="s">
        <v>352</v>
      </c>
      <c r="E69" t="s">
        <v>37</v>
      </c>
      <c r="F69">
        <v>888</v>
      </c>
      <c r="G69" s="13">
        <f>_1___Inbound_Calls_Last_7___Yosem[[#This Row],[Call Duration]]/60</f>
        <v>14.8</v>
      </c>
    </row>
    <row r="70" spans="1:7" x14ac:dyDescent="0.25">
      <c r="A70" t="s">
        <v>2</v>
      </c>
      <c r="B70" s="4">
        <v>44987</v>
      </c>
      <c r="C70" t="s">
        <v>353</v>
      </c>
      <c r="D70" t="s">
        <v>354</v>
      </c>
      <c r="E70" t="s">
        <v>37</v>
      </c>
      <c r="F70">
        <v>302</v>
      </c>
      <c r="G70" s="13">
        <f>_1___Inbound_Calls_Last_7___Yosem[[#This Row],[Call Duration]]/60</f>
        <v>5.0333333333333332</v>
      </c>
    </row>
    <row r="71" spans="1:7" x14ac:dyDescent="0.25">
      <c r="A71" t="s">
        <v>2</v>
      </c>
      <c r="B71" s="4">
        <v>44987</v>
      </c>
      <c r="C71" t="s">
        <v>325</v>
      </c>
      <c r="D71" t="s">
        <v>355</v>
      </c>
      <c r="E71" t="s">
        <v>37</v>
      </c>
      <c r="F71">
        <v>72</v>
      </c>
      <c r="G71" s="13">
        <f>_1___Inbound_Calls_Last_7___Yosem[[#This Row],[Call Duration]]/60</f>
        <v>1.2</v>
      </c>
    </row>
    <row r="72" spans="1:7" x14ac:dyDescent="0.25">
      <c r="A72" t="s">
        <v>2</v>
      </c>
      <c r="B72" s="4">
        <v>44988</v>
      </c>
      <c r="C72" t="s">
        <v>321</v>
      </c>
      <c r="D72" t="s">
        <v>356</v>
      </c>
      <c r="E72" t="s">
        <v>37</v>
      </c>
      <c r="F72">
        <v>639</v>
      </c>
      <c r="G72" s="13">
        <f>_1___Inbound_Calls_Last_7___Yosem[[#This Row],[Call Duration]]/60</f>
        <v>10.65</v>
      </c>
    </row>
    <row r="73" spans="1:7" x14ac:dyDescent="0.25">
      <c r="A73" t="s">
        <v>29</v>
      </c>
      <c r="B73" s="4">
        <v>44984</v>
      </c>
      <c r="C73" t="s">
        <v>146</v>
      </c>
      <c r="D73" t="s">
        <v>147</v>
      </c>
      <c r="E73" t="s">
        <v>37</v>
      </c>
      <c r="F73">
        <v>147</v>
      </c>
      <c r="G73" s="13">
        <f>_1___Inbound_Calls_Last_7___Yosem[[#This Row],[Call Duration]]/60</f>
        <v>2.4500000000000002</v>
      </c>
    </row>
    <row r="74" spans="1:7" x14ac:dyDescent="0.25">
      <c r="A74" t="s">
        <v>29</v>
      </c>
      <c r="B74" s="4">
        <v>44986</v>
      </c>
      <c r="C74" t="s">
        <v>119</v>
      </c>
      <c r="D74" t="s">
        <v>357</v>
      </c>
      <c r="E74" t="s">
        <v>37</v>
      </c>
      <c r="F74">
        <v>526</v>
      </c>
      <c r="G74" s="13">
        <f>_1___Inbound_Calls_Last_7___Yosem[[#This Row],[Call Duration]]/60</f>
        <v>8.7666666666666675</v>
      </c>
    </row>
    <row r="75" spans="1:7" x14ac:dyDescent="0.25">
      <c r="A75" t="s">
        <v>29</v>
      </c>
      <c r="B75" s="4">
        <v>44986</v>
      </c>
      <c r="C75" t="s">
        <v>321</v>
      </c>
      <c r="D75" t="s">
        <v>358</v>
      </c>
      <c r="E75" t="s">
        <v>37</v>
      </c>
      <c r="F75">
        <v>70</v>
      </c>
      <c r="G75" s="13">
        <f>_1___Inbound_Calls_Last_7___Yosem[[#This Row],[Call Duration]]/60</f>
        <v>1.1666666666666667</v>
      </c>
    </row>
    <row r="76" spans="1:7" x14ac:dyDescent="0.25">
      <c r="A76" t="s">
        <v>29</v>
      </c>
      <c r="B76" s="4">
        <v>44986</v>
      </c>
      <c r="C76" t="s">
        <v>159</v>
      </c>
      <c r="D76" t="s">
        <v>359</v>
      </c>
      <c r="E76" t="s">
        <v>37</v>
      </c>
      <c r="F76">
        <v>234</v>
      </c>
      <c r="G76" s="13">
        <f>_1___Inbound_Calls_Last_7___Yosem[[#This Row],[Call Duration]]/60</f>
        <v>3.9</v>
      </c>
    </row>
    <row r="77" spans="1:7" x14ac:dyDescent="0.25">
      <c r="A77" t="s">
        <v>29</v>
      </c>
      <c r="B77" s="4">
        <v>44986</v>
      </c>
      <c r="C77" t="s">
        <v>305</v>
      </c>
      <c r="D77" t="s">
        <v>360</v>
      </c>
      <c r="E77" t="s">
        <v>37</v>
      </c>
      <c r="F77">
        <v>297</v>
      </c>
      <c r="G77" s="13">
        <f>_1___Inbound_Calls_Last_7___Yosem[[#This Row],[Call Duration]]/60</f>
        <v>4.95</v>
      </c>
    </row>
    <row r="78" spans="1:7" x14ac:dyDescent="0.25">
      <c r="A78" t="s">
        <v>29</v>
      </c>
      <c r="B78" s="4">
        <v>44986</v>
      </c>
      <c r="C78" t="s">
        <v>145</v>
      </c>
      <c r="D78" t="s">
        <v>361</v>
      </c>
      <c r="E78" t="s">
        <v>37</v>
      </c>
      <c r="F78">
        <v>612</v>
      </c>
      <c r="G78" s="13">
        <f>_1___Inbound_Calls_Last_7___Yosem[[#This Row],[Call Duration]]/60</f>
        <v>10.199999999999999</v>
      </c>
    </row>
    <row r="79" spans="1:7" x14ac:dyDescent="0.25">
      <c r="A79" t="s">
        <v>29</v>
      </c>
      <c r="B79" s="4">
        <v>44987</v>
      </c>
      <c r="C79" t="s">
        <v>362</v>
      </c>
      <c r="D79" t="s">
        <v>363</v>
      </c>
      <c r="E79" t="s">
        <v>37</v>
      </c>
      <c r="F79">
        <v>495</v>
      </c>
      <c r="G79" s="13">
        <f>_1___Inbound_Calls_Last_7___Yosem[[#This Row],[Call Duration]]/60</f>
        <v>8.25</v>
      </c>
    </row>
    <row r="80" spans="1:7" x14ac:dyDescent="0.25">
      <c r="A80" t="s">
        <v>29</v>
      </c>
      <c r="B80" s="4">
        <v>44987</v>
      </c>
      <c r="C80" t="s">
        <v>362</v>
      </c>
      <c r="D80" t="s">
        <v>364</v>
      </c>
      <c r="E80" t="s">
        <v>37</v>
      </c>
      <c r="F80">
        <v>236</v>
      </c>
      <c r="G80" s="13">
        <f>_1___Inbound_Calls_Last_7___Yosem[[#This Row],[Call Duration]]/60</f>
        <v>3.9333333333333331</v>
      </c>
    </row>
    <row r="81" spans="1:7" x14ac:dyDescent="0.25">
      <c r="A81" t="s">
        <v>29</v>
      </c>
      <c r="B81" s="4">
        <v>44987</v>
      </c>
      <c r="C81" t="s">
        <v>338</v>
      </c>
      <c r="D81" t="s">
        <v>365</v>
      </c>
      <c r="E81" t="s">
        <v>37</v>
      </c>
      <c r="F81">
        <v>39</v>
      </c>
      <c r="G81" s="13">
        <f>_1___Inbound_Calls_Last_7___Yosem[[#This Row],[Call Duration]]/60</f>
        <v>0.65</v>
      </c>
    </row>
    <row r="82" spans="1:7" x14ac:dyDescent="0.25">
      <c r="A82" t="s">
        <v>4</v>
      </c>
      <c r="B82" s="4">
        <v>44984</v>
      </c>
      <c r="C82" t="s">
        <v>293</v>
      </c>
      <c r="D82" t="s">
        <v>272</v>
      </c>
      <c r="E82" t="s">
        <v>37</v>
      </c>
      <c r="F82">
        <v>271</v>
      </c>
      <c r="G82" s="13">
        <f>_1___Inbound_Calls_Last_7___Yosem[[#This Row],[Call Duration]]/60</f>
        <v>4.5166666666666666</v>
      </c>
    </row>
    <row r="83" spans="1:7" x14ac:dyDescent="0.25">
      <c r="A83" t="s">
        <v>4</v>
      </c>
      <c r="B83" s="4">
        <v>44984</v>
      </c>
      <c r="C83" t="s">
        <v>294</v>
      </c>
      <c r="D83" t="s">
        <v>295</v>
      </c>
      <c r="E83" t="s">
        <v>37</v>
      </c>
      <c r="F83">
        <v>168</v>
      </c>
      <c r="G83" s="13">
        <f>_1___Inbound_Calls_Last_7___Yosem[[#This Row],[Call Duration]]/60</f>
        <v>2.8</v>
      </c>
    </row>
    <row r="84" spans="1:7" x14ac:dyDescent="0.25">
      <c r="A84" t="s">
        <v>4</v>
      </c>
      <c r="B84" s="4">
        <v>44984</v>
      </c>
      <c r="C84" t="s">
        <v>274</v>
      </c>
      <c r="D84" t="s">
        <v>296</v>
      </c>
      <c r="E84" t="s">
        <v>37</v>
      </c>
      <c r="F84">
        <v>59</v>
      </c>
      <c r="G84" s="13">
        <f>_1___Inbound_Calls_Last_7___Yosem[[#This Row],[Call Duration]]/60</f>
        <v>0.98333333333333328</v>
      </c>
    </row>
    <row r="85" spans="1:7" x14ac:dyDescent="0.25">
      <c r="A85" t="s">
        <v>4</v>
      </c>
      <c r="B85" s="4">
        <v>44985</v>
      </c>
      <c r="C85" t="s">
        <v>133</v>
      </c>
      <c r="D85" t="s">
        <v>297</v>
      </c>
      <c r="E85" t="s">
        <v>37</v>
      </c>
      <c r="F85">
        <v>512</v>
      </c>
      <c r="G85" s="13">
        <f>_1___Inbound_Calls_Last_7___Yosem[[#This Row],[Call Duration]]/60</f>
        <v>8.5333333333333332</v>
      </c>
    </row>
    <row r="86" spans="1:7" x14ac:dyDescent="0.25">
      <c r="A86" t="s">
        <v>4</v>
      </c>
      <c r="B86" s="4">
        <v>44986</v>
      </c>
      <c r="C86" t="s">
        <v>115</v>
      </c>
      <c r="D86" t="s">
        <v>366</v>
      </c>
      <c r="E86" t="s">
        <v>37</v>
      </c>
      <c r="F86">
        <v>399</v>
      </c>
      <c r="G86" s="13">
        <f>_1___Inbound_Calls_Last_7___Yosem[[#This Row],[Call Duration]]/60</f>
        <v>6.65</v>
      </c>
    </row>
    <row r="87" spans="1:7" x14ac:dyDescent="0.25">
      <c r="A87" t="s">
        <v>4</v>
      </c>
      <c r="B87" s="4">
        <v>44986</v>
      </c>
      <c r="C87" t="s">
        <v>115</v>
      </c>
      <c r="D87" t="s">
        <v>367</v>
      </c>
      <c r="E87" t="s">
        <v>37</v>
      </c>
      <c r="F87">
        <v>312</v>
      </c>
      <c r="G87" s="13">
        <f>_1___Inbound_Calls_Last_7___Yosem[[#This Row],[Call Duration]]/60</f>
        <v>5.2</v>
      </c>
    </row>
    <row r="88" spans="1:7" x14ac:dyDescent="0.25">
      <c r="A88" t="s">
        <v>4</v>
      </c>
      <c r="B88" s="4">
        <v>44986</v>
      </c>
      <c r="C88" t="s">
        <v>271</v>
      </c>
      <c r="D88" t="s">
        <v>368</v>
      </c>
      <c r="E88" t="s">
        <v>37</v>
      </c>
      <c r="F88">
        <v>147</v>
      </c>
      <c r="G88" s="13">
        <f>_1___Inbound_Calls_Last_7___Yosem[[#This Row],[Call Duration]]/60</f>
        <v>2.4500000000000002</v>
      </c>
    </row>
    <row r="89" spans="1:7" x14ac:dyDescent="0.25">
      <c r="A89" t="s">
        <v>4</v>
      </c>
      <c r="B89" s="4">
        <v>44987</v>
      </c>
      <c r="C89" t="s">
        <v>369</v>
      </c>
      <c r="D89" t="s">
        <v>370</v>
      </c>
      <c r="E89" t="s">
        <v>37</v>
      </c>
      <c r="F89">
        <v>170</v>
      </c>
      <c r="G89" s="13">
        <f>_1___Inbound_Calls_Last_7___Yosem[[#This Row],[Call Duration]]/60</f>
        <v>2.8333333333333335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E3E41-105F-474A-9C9C-DDD3B7AAE4C6}">
  <sheetPr codeName="Sheet7"/>
  <dimension ref="A1:R90"/>
  <sheetViews>
    <sheetView topLeftCell="L1" workbookViewId="0">
      <selection activeCell="S12" sqref="S12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17.7109375" bestFit="1" customWidth="1"/>
    <col min="4" max="4" width="16.85546875" bestFit="1" customWidth="1"/>
    <col min="5" max="5" width="49.140625" bestFit="1" customWidth="1"/>
    <col min="6" max="6" width="23" bestFit="1" customWidth="1"/>
    <col min="7" max="7" width="44" bestFit="1" customWidth="1"/>
    <col min="8" max="8" width="81.140625" bestFit="1" customWidth="1"/>
    <col min="9" max="9" width="10.5703125" bestFit="1" customWidth="1"/>
    <col min="10" max="10" width="9.285156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37.140625" bestFit="1" customWidth="1"/>
    <col min="18" max="18" width="23" bestFit="1" customWidth="1"/>
  </cols>
  <sheetData>
    <row r="1" spans="1:18" x14ac:dyDescent="0.25">
      <c r="A1" t="s">
        <v>13</v>
      </c>
      <c r="B1" t="s">
        <v>10</v>
      </c>
      <c r="C1" t="s">
        <v>38</v>
      </c>
      <c r="D1" t="s">
        <v>39</v>
      </c>
      <c r="E1" t="s">
        <v>22</v>
      </c>
      <c r="F1" t="s">
        <v>40</v>
      </c>
      <c r="G1" t="s">
        <v>8</v>
      </c>
      <c r="H1" t="s">
        <v>12</v>
      </c>
      <c r="I1" t="s">
        <v>41</v>
      </c>
      <c r="J1" t="s">
        <v>42</v>
      </c>
      <c r="K1" t="s">
        <v>43</v>
      </c>
      <c r="L1" t="s">
        <v>11</v>
      </c>
      <c r="M1" t="s">
        <v>44</v>
      </c>
      <c r="N1" t="s">
        <v>45</v>
      </c>
      <c r="O1" t="s">
        <v>15</v>
      </c>
      <c r="Q1" t="s">
        <v>53</v>
      </c>
      <c r="R1" s="13">
        <f>AVERAGE(K:K)</f>
        <v>46.213483146067418</v>
      </c>
    </row>
    <row r="2" spans="1:18" x14ac:dyDescent="0.25">
      <c r="A2" t="s">
        <v>46</v>
      </c>
      <c r="B2" t="s">
        <v>543</v>
      </c>
      <c r="C2" t="s">
        <v>37</v>
      </c>
      <c r="D2" t="s">
        <v>49</v>
      </c>
      <c r="E2" t="s">
        <v>23</v>
      </c>
      <c r="G2" t="s">
        <v>433</v>
      </c>
      <c r="H2" t="s">
        <v>544</v>
      </c>
      <c r="I2" t="s">
        <v>48</v>
      </c>
      <c r="J2" t="s">
        <v>37</v>
      </c>
      <c r="K2">
        <v>264</v>
      </c>
      <c r="L2" t="s">
        <v>432</v>
      </c>
      <c r="M2" t="s">
        <v>545</v>
      </c>
      <c r="N2" t="s">
        <v>546</v>
      </c>
      <c r="O2" t="s">
        <v>37</v>
      </c>
    </row>
    <row r="3" spans="1:18" x14ac:dyDescent="0.25">
      <c r="A3" t="s">
        <v>46</v>
      </c>
      <c r="B3" t="s">
        <v>547</v>
      </c>
      <c r="C3" t="s">
        <v>37</v>
      </c>
      <c r="D3" t="s">
        <v>49</v>
      </c>
      <c r="E3" t="s">
        <v>23</v>
      </c>
      <c r="F3">
        <v>295</v>
      </c>
      <c r="G3" t="s">
        <v>94</v>
      </c>
      <c r="H3" t="s">
        <v>548</v>
      </c>
      <c r="I3" t="s">
        <v>48</v>
      </c>
      <c r="J3" t="s">
        <v>37</v>
      </c>
      <c r="K3">
        <v>242</v>
      </c>
      <c r="L3" t="s">
        <v>503</v>
      </c>
      <c r="M3" t="s">
        <v>549</v>
      </c>
      <c r="N3" t="s">
        <v>550</v>
      </c>
      <c r="O3" t="s">
        <v>37</v>
      </c>
    </row>
    <row r="4" spans="1:18" x14ac:dyDescent="0.25">
      <c r="A4" t="s">
        <v>46</v>
      </c>
      <c r="B4" t="s">
        <v>551</v>
      </c>
      <c r="C4" t="s">
        <v>37</v>
      </c>
      <c r="D4" t="s">
        <v>49</v>
      </c>
      <c r="E4" t="s">
        <v>23</v>
      </c>
      <c r="F4">
        <v>161</v>
      </c>
      <c r="G4" t="s">
        <v>26</v>
      </c>
      <c r="H4" t="s">
        <v>552</v>
      </c>
      <c r="I4" t="s">
        <v>48</v>
      </c>
      <c r="J4" t="s">
        <v>37</v>
      </c>
      <c r="K4">
        <v>228</v>
      </c>
      <c r="L4" t="s">
        <v>397</v>
      </c>
      <c r="M4" t="s">
        <v>553</v>
      </c>
      <c r="N4" t="s">
        <v>554</v>
      </c>
      <c r="O4" t="s">
        <v>37</v>
      </c>
    </row>
    <row r="5" spans="1:18" x14ac:dyDescent="0.25">
      <c r="A5" t="s">
        <v>46</v>
      </c>
      <c r="B5" t="s">
        <v>189</v>
      </c>
      <c r="C5" t="s">
        <v>37</v>
      </c>
      <c r="D5" t="s">
        <v>47</v>
      </c>
      <c r="E5" t="s">
        <v>23</v>
      </c>
      <c r="F5">
        <v>676</v>
      </c>
      <c r="G5" t="s">
        <v>112</v>
      </c>
      <c r="H5" t="s">
        <v>190</v>
      </c>
      <c r="I5" t="s">
        <v>48</v>
      </c>
      <c r="J5" t="s">
        <v>37</v>
      </c>
      <c r="K5">
        <v>182</v>
      </c>
      <c r="L5" t="s">
        <v>183</v>
      </c>
      <c r="M5" t="s">
        <v>191</v>
      </c>
      <c r="N5" t="s">
        <v>192</v>
      </c>
      <c r="O5" t="s">
        <v>555</v>
      </c>
    </row>
    <row r="6" spans="1:18" x14ac:dyDescent="0.25">
      <c r="A6" t="s">
        <v>46</v>
      </c>
      <c r="B6" t="s">
        <v>193</v>
      </c>
      <c r="C6" t="s">
        <v>37</v>
      </c>
      <c r="D6" t="s">
        <v>47</v>
      </c>
      <c r="E6" t="s">
        <v>23</v>
      </c>
      <c r="F6">
        <v>396</v>
      </c>
      <c r="G6" t="s">
        <v>99</v>
      </c>
      <c r="H6" t="s">
        <v>195</v>
      </c>
      <c r="I6" t="s">
        <v>48</v>
      </c>
      <c r="J6" t="s">
        <v>37</v>
      </c>
      <c r="K6">
        <v>158</v>
      </c>
      <c r="L6" t="s">
        <v>180</v>
      </c>
      <c r="M6" t="s">
        <v>196</v>
      </c>
      <c r="N6" t="s">
        <v>556</v>
      </c>
      <c r="O6" t="s">
        <v>557</v>
      </c>
    </row>
    <row r="7" spans="1:18" x14ac:dyDescent="0.25">
      <c r="A7" t="s">
        <v>46</v>
      </c>
      <c r="B7" t="s">
        <v>558</v>
      </c>
      <c r="C7" t="s">
        <v>37</v>
      </c>
      <c r="D7" t="s">
        <v>49</v>
      </c>
      <c r="E7" t="s">
        <v>23</v>
      </c>
      <c r="F7">
        <v>350</v>
      </c>
      <c r="G7" t="s">
        <v>24</v>
      </c>
      <c r="H7" t="s">
        <v>559</v>
      </c>
      <c r="I7" t="s">
        <v>48</v>
      </c>
      <c r="J7" t="s">
        <v>37</v>
      </c>
      <c r="K7">
        <v>142</v>
      </c>
      <c r="L7" t="s">
        <v>429</v>
      </c>
      <c r="M7" t="s">
        <v>560</v>
      </c>
      <c r="N7" t="s">
        <v>561</v>
      </c>
      <c r="O7" t="s">
        <v>37</v>
      </c>
    </row>
    <row r="8" spans="1:18" x14ac:dyDescent="0.25">
      <c r="A8" t="s">
        <v>46</v>
      </c>
      <c r="B8" t="s">
        <v>562</v>
      </c>
      <c r="C8" t="s">
        <v>37</v>
      </c>
      <c r="D8" t="s">
        <v>47</v>
      </c>
      <c r="E8" t="s">
        <v>23</v>
      </c>
      <c r="F8">
        <v>333</v>
      </c>
      <c r="G8" t="s">
        <v>388</v>
      </c>
      <c r="H8" t="s">
        <v>563</v>
      </c>
      <c r="I8" t="s">
        <v>48</v>
      </c>
      <c r="J8" t="s">
        <v>37</v>
      </c>
      <c r="K8">
        <v>134</v>
      </c>
      <c r="L8" t="s">
        <v>508</v>
      </c>
      <c r="M8" t="s">
        <v>564</v>
      </c>
      <c r="N8" t="s">
        <v>565</v>
      </c>
      <c r="O8" t="s">
        <v>51</v>
      </c>
    </row>
    <row r="9" spans="1:18" x14ac:dyDescent="0.25">
      <c r="A9" t="s">
        <v>46</v>
      </c>
      <c r="B9" t="s">
        <v>566</v>
      </c>
      <c r="C9" t="s">
        <v>37</v>
      </c>
      <c r="D9" t="s">
        <v>47</v>
      </c>
      <c r="E9" t="s">
        <v>23</v>
      </c>
      <c r="F9">
        <v>500</v>
      </c>
      <c r="G9" t="s">
        <v>149</v>
      </c>
      <c r="H9" t="s">
        <v>567</v>
      </c>
      <c r="I9" t="s">
        <v>48</v>
      </c>
      <c r="J9" t="s">
        <v>37</v>
      </c>
      <c r="K9">
        <v>127</v>
      </c>
      <c r="L9" t="s">
        <v>496</v>
      </c>
      <c r="M9" t="s">
        <v>568</v>
      </c>
      <c r="N9" t="s">
        <v>569</v>
      </c>
      <c r="O9" t="s">
        <v>50</v>
      </c>
    </row>
    <row r="10" spans="1:18" x14ac:dyDescent="0.25">
      <c r="A10" t="s">
        <v>46</v>
      </c>
      <c r="B10" t="s">
        <v>570</v>
      </c>
      <c r="C10" t="s">
        <v>37</v>
      </c>
      <c r="D10" t="s">
        <v>49</v>
      </c>
      <c r="E10" t="s">
        <v>23</v>
      </c>
      <c r="F10">
        <v>33</v>
      </c>
      <c r="G10" t="s">
        <v>111</v>
      </c>
      <c r="H10" t="s">
        <v>571</v>
      </c>
      <c r="I10" t="s">
        <v>48</v>
      </c>
      <c r="J10" t="s">
        <v>37</v>
      </c>
      <c r="K10">
        <v>117</v>
      </c>
      <c r="L10" t="s">
        <v>443</v>
      </c>
      <c r="M10" t="s">
        <v>572</v>
      </c>
      <c r="N10" t="s">
        <v>573</v>
      </c>
      <c r="O10" t="s">
        <v>37</v>
      </c>
    </row>
    <row r="11" spans="1:18" x14ac:dyDescent="0.25">
      <c r="A11" t="s">
        <v>46</v>
      </c>
      <c r="B11" t="s">
        <v>574</v>
      </c>
      <c r="C11" t="s">
        <v>37</v>
      </c>
      <c r="D11" t="s">
        <v>49</v>
      </c>
      <c r="E11" t="s">
        <v>23</v>
      </c>
      <c r="F11">
        <v>243</v>
      </c>
      <c r="G11" t="s">
        <v>174</v>
      </c>
      <c r="H11" t="s">
        <v>575</v>
      </c>
      <c r="I11" t="s">
        <v>48</v>
      </c>
      <c r="J11" t="s">
        <v>37</v>
      </c>
      <c r="K11">
        <v>114</v>
      </c>
      <c r="L11" t="s">
        <v>418</v>
      </c>
      <c r="M11" t="s">
        <v>576</v>
      </c>
      <c r="N11" t="s">
        <v>577</v>
      </c>
      <c r="O11" t="s">
        <v>37</v>
      </c>
    </row>
    <row r="12" spans="1:18" x14ac:dyDescent="0.25">
      <c r="A12" t="s">
        <v>46</v>
      </c>
      <c r="B12" t="s">
        <v>198</v>
      </c>
      <c r="C12" t="s">
        <v>37</v>
      </c>
      <c r="D12" t="s">
        <v>47</v>
      </c>
      <c r="E12" t="s">
        <v>23</v>
      </c>
      <c r="F12">
        <v>500</v>
      </c>
      <c r="G12" t="s">
        <v>149</v>
      </c>
      <c r="H12" t="s">
        <v>200</v>
      </c>
      <c r="I12" t="s">
        <v>48</v>
      </c>
      <c r="J12" t="s">
        <v>37</v>
      </c>
      <c r="K12">
        <v>112</v>
      </c>
      <c r="L12" t="s">
        <v>164</v>
      </c>
      <c r="M12" t="s">
        <v>201</v>
      </c>
      <c r="N12" t="s">
        <v>202</v>
      </c>
      <c r="O12" t="s">
        <v>137</v>
      </c>
    </row>
    <row r="13" spans="1:18" x14ac:dyDescent="0.25">
      <c r="A13" t="s">
        <v>46</v>
      </c>
      <c r="B13" t="s">
        <v>203</v>
      </c>
      <c r="C13" t="s">
        <v>37</v>
      </c>
      <c r="D13" t="s">
        <v>47</v>
      </c>
      <c r="E13" t="s">
        <v>23</v>
      </c>
      <c r="F13">
        <v>132</v>
      </c>
      <c r="G13" t="s">
        <v>101</v>
      </c>
      <c r="H13" t="s">
        <v>205</v>
      </c>
      <c r="I13" t="s">
        <v>48</v>
      </c>
      <c r="J13" t="s">
        <v>37</v>
      </c>
      <c r="K13">
        <v>111</v>
      </c>
      <c r="L13" t="s">
        <v>165</v>
      </c>
      <c r="M13" t="s">
        <v>206</v>
      </c>
      <c r="N13" t="s">
        <v>207</v>
      </c>
      <c r="O13" t="s">
        <v>51</v>
      </c>
    </row>
    <row r="14" spans="1:18" x14ac:dyDescent="0.25">
      <c r="A14" t="s">
        <v>46</v>
      </c>
      <c r="B14" t="s">
        <v>578</v>
      </c>
      <c r="C14" t="s">
        <v>37</v>
      </c>
      <c r="D14" t="s">
        <v>47</v>
      </c>
      <c r="E14" t="s">
        <v>23</v>
      </c>
      <c r="F14">
        <v>132</v>
      </c>
      <c r="G14" t="s">
        <v>101</v>
      </c>
      <c r="H14" t="s">
        <v>579</v>
      </c>
      <c r="I14" t="s">
        <v>48</v>
      </c>
      <c r="J14" t="s">
        <v>37</v>
      </c>
      <c r="K14">
        <v>106</v>
      </c>
      <c r="L14" t="s">
        <v>477</v>
      </c>
      <c r="M14" t="s">
        <v>580</v>
      </c>
      <c r="N14" t="s">
        <v>581</v>
      </c>
      <c r="O14" t="s">
        <v>51</v>
      </c>
    </row>
    <row r="15" spans="1:18" x14ac:dyDescent="0.25">
      <c r="A15" t="s">
        <v>46</v>
      </c>
      <c r="B15" t="s">
        <v>582</v>
      </c>
      <c r="C15" t="s">
        <v>37</v>
      </c>
      <c r="D15" t="s">
        <v>49</v>
      </c>
      <c r="E15" t="s">
        <v>23</v>
      </c>
      <c r="F15">
        <v>289</v>
      </c>
      <c r="G15" t="s">
        <v>95</v>
      </c>
      <c r="H15" t="s">
        <v>583</v>
      </c>
      <c r="I15" t="s">
        <v>48</v>
      </c>
      <c r="J15" t="s">
        <v>37</v>
      </c>
      <c r="K15">
        <v>100</v>
      </c>
      <c r="L15" t="s">
        <v>504</v>
      </c>
      <c r="M15" t="s">
        <v>584</v>
      </c>
      <c r="N15" t="s">
        <v>585</v>
      </c>
      <c r="O15" t="s">
        <v>37</v>
      </c>
    </row>
    <row r="16" spans="1:18" x14ac:dyDescent="0.25">
      <c r="A16" t="s">
        <v>46</v>
      </c>
      <c r="B16" t="s">
        <v>586</v>
      </c>
      <c r="C16" t="s">
        <v>37</v>
      </c>
      <c r="D16" t="s">
        <v>49</v>
      </c>
      <c r="E16" t="s">
        <v>23</v>
      </c>
      <c r="F16">
        <v>220</v>
      </c>
      <c r="G16" t="s">
        <v>475</v>
      </c>
      <c r="H16" t="s">
        <v>587</v>
      </c>
      <c r="I16" t="s">
        <v>48</v>
      </c>
      <c r="J16" t="s">
        <v>37</v>
      </c>
      <c r="K16">
        <v>97</v>
      </c>
      <c r="L16" t="s">
        <v>474</v>
      </c>
      <c r="M16" t="s">
        <v>588</v>
      </c>
      <c r="N16" t="s">
        <v>588</v>
      </c>
      <c r="O16" t="s">
        <v>37</v>
      </c>
    </row>
    <row r="17" spans="1:15" x14ac:dyDescent="0.25">
      <c r="A17" t="s">
        <v>46</v>
      </c>
      <c r="B17" t="s">
        <v>589</v>
      </c>
      <c r="C17" t="s">
        <v>37</v>
      </c>
      <c r="D17" t="s">
        <v>49</v>
      </c>
      <c r="E17" t="s">
        <v>23</v>
      </c>
      <c r="F17">
        <v>33</v>
      </c>
      <c r="G17" t="s">
        <v>111</v>
      </c>
      <c r="H17" t="s">
        <v>590</v>
      </c>
      <c r="I17" t="s">
        <v>48</v>
      </c>
      <c r="J17" t="s">
        <v>37</v>
      </c>
      <c r="K17">
        <v>96</v>
      </c>
      <c r="L17" t="s">
        <v>491</v>
      </c>
      <c r="M17" t="s">
        <v>591</v>
      </c>
      <c r="N17" t="s">
        <v>591</v>
      </c>
      <c r="O17" t="s">
        <v>37</v>
      </c>
    </row>
    <row r="18" spans="1:15" x14ac:dyDescent="0.25">
      <c r="A18" t="s">
        <v>46</v>
      </c>
      <c r="B18" t="s">
        <v>208</v>
      </c>
      <c r="C18" t="s">
        <v>37</v>
      </c>
      <c r="D18" t="s">
        <v>47</v>
      </c>
      <c r="E18" t="s">
        <v>23</v>
      </c>
      <c r="F18">
        <v>33</v>
      </c>
      <c r="G18" t="s">
        <v>111</v>
      </c>
      <c r="H18" t="s">
        <v>210</v>
      </c>
      <c r="I18" t="s">
        <v>48</v>
      </c>
      <c r="J18" t="s">
        <v>37</v>
      </c>
      <c r="K18">
        <v>87</v>
      </c>
      <c r="L18" t="s">
        <v>185</v>
      </c>
      <c r="M18" t="s">
        <v>177</v>
      </c>
      <c r="N18" t="s">
        <v>197</v>
      </c>
      <c r="O18" t="s">
        <v>37</v>
      </c>
    </row>
    <row r="19" spans="1:15" x14ac:dyDescent="0.25">
      <c r="A19" t="s">
        <v>46</v>
      </c>
      <c r="B19" t="s">
        <v>592</v>
      </c>
      <c r="C19" t="s">
        <v>37</v>
      </c>
      <c r="D19" t="s">
        <v>49</v>
      </c>
      <c r="E19" t="s">
        <v>23</v>
      </c>
      <c r="F19">
        <v>100</v>
      </c>
      <c r="G19" t="s">
        <v>128</v>
      </c>
      <c r="H19" t="s">
        <v>593</v>
      </c>
      <c r="I19" t="s">
        <v>48</v>
      </c>
      <c r="J19" t="s">
        <v>37</v>
      </c>
      <c r="K19">
        <v>84</v>
      </c>
      <c r="L19" t="s">
        <v>396</v>
      </c>
      <c r="M19" t="s">
        <v>594</v>
      </c>
      <c r="N19" t="s">
        <v>595</v>
      </c>
      <c r="O19" t="s">
        <v>37</v>
      </c>
    </row>
    <row r="20" spans="1:15" x14ac:dyDescent="0.25">
      <c r="A20" t="s">
        <v>46</v>
      </c>
      <c r="B20" t="s">
        <v>596</v>
      </c>
      <c r="C20" t="s">
        <v>37</v>
      </c>
      <c r="D20" t="s">
        <v>49</v>
      </c>
      <c r="E20" t="s">
        <v>23</v>
      </c>
      <c r="F20">
        <v>71</v>
      </c>
      <c r="G20" t="s">
        <v>123</v>
      </c>
      <c r="H20" t="s">
        <v>597</v>
      </c>
      <c r="I20" t="s">
        <v>48</v>
      </c>
      <c r="J20" t="s">
        <v>37</v>
      </c>
      <c r="K20">
        <v>75</v>
      </c>
      <c r="L20" t="s">
        <v>463</v>
      </c>
      <c r="M20" t="s">
        <v>598</v>
      </c>
      <c r="N20" t="s">
        <v>599</v>
      </c>
      <c r="O20" t="s">
        <v>37</v>
      </c>
    </row>
    <row r="21" spans="1:15" x14ac:dyDescent="0.25">
      <c r="A21" t="s">
        <v>46</v>
      </c>
      <c r="B21" t="s">
        <v>600</v>
      </c>
      <c r="C21" t="s">
        <v>37</v>
      </c>
      <c r="D21" t="s">
        <v>47</v>
      </c>
      <c r="E21" t="s">
        <v>23</v>
      </c>
      <c r="F21">
        <v>340</v>
      </c>
      <c r="G21" t="s">
        <v>431</v>
      </c>
      <c r="H21" t="s">
        <v>601</v>
      </c>
      <c r="I21" t="s">
        <v>48</v>
      </c>
      <c r="J21" t="s">
        <v>37</v>
      </c>
      <c r="K21">
        <v>74</v>
      </c>
      <c r="L21" t="s">
        <v>430</v>
      </c>
      <c r="M21" t="s">
        <v>602</v>
      </c>
      <c r="N21" t="s">
        <v>603</v>
      </c>
      <c r="O21" t="s">
        <v>51</v>
      </c>
    </row>
    <row r="22" spans="1:15" x14ac:dyDescent="0.25">
      <c r="A22" t="s">
        <v>46</v>
      </c>
      <c r="B22" t="s">
        <v>604</v>
      </c>
      <c r="C22" t="s">
        <v>37</v>
      </c>
      <c r="D22" t="s">
        <v>49</v>
      </c>
      <c r="E22" t="s">
        <v>23</v>
      </c>
      <c r="F22">
        <v>106</v>
      </c>
      <c r="G22" t="s">
        <v>126</v>
      </c>
      <c r="H22" t="s">
        <v>605</v>
      </c>
      <c r="I22" t="s">
        <v>48</v>
      </c>
      <c r="J22" t="s">
        <v>48</v>
      </c>
      <c r="K22">
        <v>68</v>
      </c>
      <c r="L22" t="s">
        <v>435</v>
      </c>
      <c r="M22" t="s">
        <v>606</v>
      </c>
      <c r="N22" t="s">
        <v>607</v>
      </c>
      <c r="O22" t="s">
        <v>608</v>
      </c>
    </row>
    <row r="23" spans="1:15" x14ac:dyDescent="0.25">
      <c r="A23" t="s">
        <v>46</v>
      </c>
      <c r="B23" t="s">
        <v>609</v>
      </c>
      <c r="C23" t="s">
        <v>37</v>
      </c>
      <c r="D23" t="s">
        <v>47</v>
      </c>
      <c r="E23" t="s">
        <v>23</v>
      </c>
      <c r="F23">
        <v>174</v>
      </c>
      <c r="G23" t="s">
        <v>107</v>
      </c>
      <c r="H23" t="s">
        <v>610</v>
      </c>
      <c r="I23" t="s">
        <v>48</v>
      </c>
      <c r="J23" t="s">
        <v>37</v>
      </c>
      <c r="K23">
        <v>64</v>
      </c>
      <c r="L23" t="s">
        <v>509</v>
      </c>
      <c r="M23" t="s">
        <v>611</v>
      </c>
      <c r="N23" t="s">
        <v>612</v>
      </c>
      <c r="O23" t="s">
        <v>51</v>
      </c>
    </row>
    <row r="24" spans="1:15" x14ac:dyDescent="0.25">
      <c r="A24" t="s">
        <v>46</v>
      </c>
      <c r="B24" t="s">
        <v>613</v>
      </c>
      <c r="C24" t="s">
        <v>37</v>
      </c>
      <c r="D24" t="s">
        <v>49</v>
      </c>
      <c r="E24" t="s">
        <v>23</v>
      </c>
      <c r="F24">
        <v>100</v>
      </c>
      <c r="G24" t="s">
        <v>128</v>
      </c>
      <c r="H24" t="s">
        <v>614</v>
      </c>
      <c r="I24" t="s">
        <v>48</v>
      </c>
      <c r="J24" t="s">
        <v>37</v>
      </c>
      <c r="K24">
        <v>62</v>
      </c>
      <c r="L24" t="s">
        <v>385</v>
      </c>
      <c r="M24" t="s">
        <v>615</v>
      </c>
      <c r="N24" t="s">
        <v>616</v>
      </c>
      <c r="O24" t="s">
        <v>37</v>
      </c>
    </row>
    <row r="25" spans="1:15" x14ac:dyDescent="0.25">
      <c r="A25" t="s">
        <v>46</v>
      </c>
      <c r="B25" t="s">
        <v>211</v>
      </c>
      <c r="C25" t="s">
        <v>37</v>
      </c>
      <c r="D25" t="s">
        <v>49</v>
      </c>
      <c r="E25" t="s">
        <v>23</v>
      </c>
      <c r="F25">
        <v>243</v>
      </c>
      <c r="G25" t="s">
        <v>174</v>
      </c>
      <c r="H25" t="s">
        <v>212</v>
      </c>
      <c r="I25" t="s">
        <v>48</v>
      </c>
      <c r="J25" t="s">
        <v>37</v>
      </c>
      <c r="K25">
        <v>58</v>
      </c>
      <c r="L25" t="s">
        <v>181</v>
      </c>
      <c r="M25" t="s">
        <v>176</v>
      </c>
      <c r="N25" t="s">
        <v>213</v>
      </c>
      <c r="O25" t="s">
        <v>51</v>
      </c>
    </row>
    <row r="26" spans="1:15" x14ac:dyDescent="0.25">
      <c r="A26" t="s">
        <v>46</v>
      </c>
      <c r="B26" t="s">
        <v>617</v>
      </c>
      <c r="C26" t="s">
        <v>37</v>
      </c>
      <c r="D26" t="s">
        <v>49</v>
      </c>
      <c r="E26" t="s">
        <v>23</v>
      </c>
      <c r="F26">
        <v>33</v>
      </c>
      <c r="G26" t="s">
        <v>111</v>
      </c>
      <c r="H26" t="s">
        <v>618</v>
      </c>
      <c r="I26" t="s">
        <v>48</v>
      </c>
      <c r="J26" t="s">
        <v>37</v>
      </c>
      <c r="K26">
        <v>58</v>
      </c>
      <c r="L26" t="s">
        <v>452</v>
      </c>
      <c r="M26" t="s">
        <v>619</v>
      </c>
      <c r="N26" t="s">
        <v>375</v>
      </c>
      <c r="O26" t="s">
        <v>37</v>
      </c>
    </row>
    <row r="27" spans="1:15" x14ac:dyDescent="0.25">
      <c r="A27" t="s">
        <v>46</v>
      </c>
      <c r="B27" t="s">
        <v>620</v>
      </c>
      <c r="C27" t="s">
        <v>37</v>
      </c>
      <c r="D27" t="s">
        <v>49</v>
      </c>
      <c r="E27" t="s">
        <v>23</v>
      </c>
      <c r="F27">
        <v>13</v>
      </c>
      <c r="G27" t="s">
        <v>395</v>
      </c>
      <c r="H27" t="s">
        <v>621</v>
      </c>
      <c r="I27" t="s">
        <v>48</v>
      </c>
      <c r="J27" t="s">
        <v>37</v>
      </c>
      <c r="K27">
        <v>58</v>
      </c>
      <c r="L27" t="s">
        <v>417</v>
      </c>
      <c r="M27" t="s">
        <v>622</v>
      </c>
      <c r="N27" t="s">
        <v>622</v>
      </c>
      <c r="O27" t="s">
        <v>51</v>
      </c>
    </row>
    <row r="28" spans="1:15" x14ac:dyDescent="0.25">
      <c r="A28" t="s">
        <v>46</v>
      </c>
      <c r="B28" t="s">
        <v>214</v>
      </c>
      <c r="C28" t="s">
        <v>37</v>
      </c>
      <c r="D28" t="s">
        <v>47</v>
      </c>
      <c r="E28" t="s">
        <v>23</v>
      </c>
      <c r="F28">
        <v>181</v>
      </c>
      <c r="G28" t="s">
        <v>120</v>
      </c>
      <c r="H28" t="s">
        <v>215</v>
      </c>
      <c r="I28" t="s">
        <v>48</v>
      </c>
      <c r="J28" t="s">
        <v>37</v>
      </c>
      <c r="K28">
        <v>44</v>
      </c>
      <c r="L28" t="s">
        <v>186</v>
      </c>
      <c r="M28" t="s">
        <v>216</v>
      </c>
      <c r="N28" t="s">
        <v>217</v>
      </c>
      <c r="O28" t="s">
        <v>37</v>
      </c>
    </row>
    <row r="29" spans="1:15" x14ac:dyDescent="0.25">
      <c r="A29" t="s">
        <v>46</v>
      </c>
      <c r="B29" t="s">
        <v>623</v>
      </c>
      <c r="C29" t="s">
        <v>37</v>
      </c>
      <c r="D29" t="s">
        <v>49</v>
      </c>
      <c r="E29" t="s">
        <v>23</v>
      </c>
      <c r="F29">
        <v>344</v>
      </c>
      <c r="G29" t="s">
        <v>421</v>
      </c>
      <c r="H29" t="s">
        <v>624</v>
      </c>
      <c r="I29" t="s">
        <v>48</v>
      </c>
      <c r="J29" t="s">
        <v>37</v>
      </c>
      <c r="K29">
        <v>43</v>
      </c>
      <c r="L29" t="s">
        <v>456</v>
      </c>
      <c r="M29" t="s">
        <v>625</v>
      </c>
      <c r="N29" t="s">
        <v>626</v>
      </c>
      <c r="O29" t="s">
        <v>37</v>
      </c>
    </row>
    <row r="30" spans="1:15" x14ac:dyDescent="0.25">
      <c r="A30" t="s">
        <v>46</v>
      </c>
      <c r="B30" t="s">
        <v>627</v>
      </c>
      <c r="C30" t="s">
        <v>37</v>
      </c>
      <c r="D30" t="s">
        <v>47</v>
      </c>
      <c r="E30" t="s">
        <v>23</v>
      </c>
      <c r="F30">
        <v>174</v>
      </c>
      <c r="G30" t="s">
        <v>107</v>
      </c>
      <c r="H30" t="s">
        <v>628</v>
      </c>
      <c r="I30" t="s">
        <v>48</v>
      </c>
      <c r="J30" t="s">
        <v>37</v>
      </c>
      <c r="K30">
        <v>42</v>
      </c>
      <c r="L30" t="s">
        <v>484</v>
      </c>
      <c r="M30" t="s">
        <v>629</v>
      </c>
      <c r="N30" t="s">
        <v>630</v>
      </c>
      <c r="O30" t="s">
        <v>51</v>
      </c>
    </row>
    <row r="31" spans="1:15" x14ac:dyDescent="0.25">
      <c r="A31" t="s">
        <v>46</v>
      </c>
      <c r="B31" t="s">
        <v>631</v>
      </c>
      <c r="C31" t="s">
        <v>2</v>
      </c>
      <c r="D31" t="s">
        <v>49</v>
      </c>
      <c r="E31" t="s">
        <v>31</v>
      </c>
      <c r="F31">
        <v>168</v>
      </c>
      <c r="G31" t="s">
        <v>87</v>
      </c>
      <c r="H31" t="s">
        <v>632</v>
      </c>
      <c r="I31" t="s">
        <v>48</v>
      </c>
      <c r="J31" t="s">
        <v>48</v>
      </c>
      <c r="K31">
        <v>39</v>
      </c>
      <c r="L31" t="s">
        <v>513</v>
      </c>
      <c r="M31" t="s">
        <v>633</v>
      </c>
      <c r="N31" t="s">
        <v>634</v>
      </c>
      <c r="O31" t="s">
        <v>635</v>
      </c>
    </row>
    <row r="32" spans="1:15" x14ac:dyDescent="0.25">
      <c r="A32" t="s">
        <v>46</v>
      </c>
      <c r="B32" t="s">
        <v>636</v>
      </c>
      <c r="C32" t="s">
        <v>37</v>
      </c>
      <c r="D32" t="s">
        <v>49</v>
      </c>
      <c r="E32" t="s">
        <v>23</v>
      </c>
      <c r="F32">
        <v>350</v>
      </c>
      <c r="G32" t="s">
        <v>24</v>
      </c>
      <c r="H32" t="s">
        <v>637</v>
      </c>
      <c r="I32" t="s">
        <v>48</v>
      </c>
      <c r="J32" t="s">
        <v>37</v>
      </c>
      <c r="K32">
        <v>39</v>
      </c>
      <c r="L32" t="s">
        <v>523</v>
      </c>
      <c r="M32" t="s">
        <v>638</v>
      </c>
      <c r="N32" t="s">
        <v>639</v>
      </c>
      <c r="O32" t="s">
        <v>37</v>
      </c>
    </row>
    <row r="33" spans="1:15" x14ac:dyDescent="0.25">
      <c r="A33" t="s">
        <v>46</v>
      </c>
      <c r="B33" t="s">
        <v>265</v>
      </c>
      <c r="C33" t="s">
        <v>37</v>
      </c>
      <c r="D33" t="s">
        <v>47</v>
      </c>
      <c r="E33" t="s">
        <v>23</v>
      </c>
      <c r="F33">
        <v>33</v>
      </c>
      <c r="G33" t="s">
        <v>111</v>
      </c>
      <c r="H33" t="s">
        <v>640</v>
      </c>
      <c r="I33" t="s">
        <v>48</v>
      </c>
      <c r="J33" t="s">
        <v>37</v>
      </c>
      <c r="K33">
        <v>38</v>
      </c>
      <c r="L33" t="s">
        <v>376</v>
      </c>
      <c r="M33" t="s">
        <v>641</v>
      </c>
      <c r="N33" t="s">
        <v>642</v>
      </c>
      <c r="O33" t="s">
        <v>50</v>
      </c>
    </row>
    <row r="34" spans="1:15" x14ac:dyDescent="0.25">
      <c r="A34" t="s">
        <v>46</v>
      </c>
      <c r="B34" t="s">
        <v>643</v>
      </c>
      <c r="C34" t="s">
        <v>5</v>
      </c>
      <c r="D34" t="s">
        <v>644</v>
      </c>
      <c r="E34" t="s">
        <v>31</v>
      </c>
      <c r="F34">
        <v>455</v>
      </c>
      <c r="G34" t="s">
        <v>98</v>
      </c>
      <c r="H34" t="s">
        <v>645</v>
      </c>
      <c r="I34" t="s">
        <v>81</v>
      </c>
      <c r="J34" t="s">
        <v>48</v>
      </c>
      <c r="K34">
        <v>37</v>
      </c>
      <c r="L34" t="s">
        <v>527</v>
      </c>
      <c r="M34" t="s">
        <v>646</v>
      </c>
      <c r="N34" t="s">
        <v>647</v>
      </c>
      <c r="O34" t="s">
        <v>648</v>
      </c>
    </row>
    <row r="35" spans="1:15" x14ac:dyDescent="0.25">
      <c r="A35" t="s">
        <v>46</v>
      </c>
      <c r="B35" t="s">
        <v>283</v>
      </c>
      <c r="C35" t="s">
        <v>37</v>
      </c>
      <c r="D35" t="s">
        <v>47</v>
      </c>
      <c r="E35" t="s">
        <v>23</v>
      </c>
      <c r="F35">
        <v>162</v>
      </c>
      <c r="G35" t="s">
        <v>28</v>
      </c>
      <c r="H35" t="s">
        <v>649</v>
      </c>
      <c r="I35" t="s">
        <v>48</v>
      </c>
      <c r="J35" t="s">
        <v>37</v>
      </c>
      <c r="K35">
        <v>37</v>
      </c>
      <c r="L35" t="s">
        <v>516</v>
      </c>
      <c r="M35" t="s">
        <v>650</v>
      </c>
      <c r="N35" t="s">
        <v>650</v>
      </c>
      <c r="O35" t="s">
        <v>52</v>
      </c>
    </row>
    <row r="36" spans="1:15" x14ac:dyDescent="0.25">
      <c r="A36" t="s">
        <v>46</v>
      </c>
      <c r="B36" t="s">
        <v>276</v>
      </c>
      <c r="C36" t="s">
        <v>37</v>
      </c>
      <c r="D36" t="s">
        <v>49</v>
      </c>
      <c r="E36" t="s">
        <v>23</v>
      </c>
      <c r="F36">
        <v>525</v>
      </c>
      <c r="G36" t="s">
        <v>173</v>
      </c>
      <c r="H36" t="s">
        <v>651</v>
      </c>
      <c r="I36" t="s">
        <v>48</v>
      </c>
      <c r="J36" t="s">
        <v>48</v>
      </c>
      <c r="K36">
        <v>34</v>
      </c>
      <c r="L36" t="s">
        <v>494</v>
      </c>
      <c r="M36" t="s">
        <v>652</v>
      </c>
      <c r="N36" t="s">
        <v>653</v>
      </c>
      <c r="O36" t="s">
        <v>51</v>
      </c>
    </row>
    <row r="37" spans="1:15" x14ac:dyDescent="0.25">
      <c r="A37" t="s">
        <v>46</v>
      </c>
      <c r="B37" t="s">
        <v>654</v>
      </c>
      <c r="C37" t="s">
        <v>37</v>
      </c>
      <c r="D37" t="s">
        <v>49</v>
      </c>
      <c r="E37" t="s">
        <v>23</v>
      </c>
      <c r="F37">
        <v>33</v>
      </c>
      <c r="G37" t="s">
        <v>111</v>
      </c>
      <c r="H37" t="s">
        <v>655</v>
      </c>
      <c r="I37" t="s">
        <v>48</v>
      </c>
      <c r="J37" t="s">
        <v>37</v>
      </c>
      <c r="K37">
        <v>34</v>
      </c>
      <c r="L37" t="s">
        <v>407</v>
      </c>
      <c r="M37" t="s">
        <v>656</v>
      </c>
      <c r="N37" t="s">
        <v>657</v>
      </c>
      <c r="O37" t="s">
        <v>37</v>
      </c>
    </row>
    <row r="38" spans="1:15" x14ac:dyDescent="0.25">
      <c r="A38" t="s">
        <v>46</v>
      </c>
      <c r="B38" t="s">
        <v>658</v>
      </c>
      <c r="C38" t="s">
        <v>37</v>
      </c>
      <c r="D38" t="s">
        <v>49</v>
      </c>
      <c r="E38" t="s">
        <v>23</v>
      </c>
      <c r="F38">
        <v>183</v>
      </c>
      <c r="G38" t="s">
        <v>415</v>
      </c>
      <c r="H38" t="s">
        <v>659</v>
      </c>
      <c r="I38" t="s">
        <v>48</v>
      </c>
      <c r="J38" t="s">
        <v>37</v>
      </c>
      <c r="K38">
        <v>34</v>
      </c>
      <c r="L38" t="s">
        <v>414</v>
      </c>
      <c r="M38" t="s">
        <v>660</v>
      </c>
      <c r="N38" t="s">
        <v>661</v>
      </c>
      <c r="O38" t="s">
        <v>37</v>
      </c>
    </row>
    <row r="39" spans="1:15" x14ac:dyDescent="0.25">
      <c r="A39" t="s">
        <v>46</v>
      </c>
      <c r="B39" t="s">
        <v>662</v>
      </c>
      <c r="C39" t="s">
        <v>37</v>
      </c>
      <c r="D39" t="s">
        <v>47</v>
      </c>
      <c r="E39" t="s">
        <v>23</v>
      </c>
      <c r="F39">
        <v>258</v>
      </c>
      <c r="G39" t="s">
        <v>85</v>
      </c>
      <c r="H39" t="s">
        <v>663</v>
      </c>
      <c r="I39" t="s">
        <v>48</v>
      </c>
      <c r="J39" t="s">
        <v>37</v>
      </c>
      <c r="K39">
        <v>32</v>
      </c>
      <c r="L39" t="s">
        <v>403</v>
      </c>
      <c r="M39" t="s">
        <v>505</v>
      </c>
      <c r="N39" t="s">
        <v>664</v>
      </c>
      <c r="O39" t="s">
        <v>51</v>
      </c>
    </row>
    <row r="40" spans="1:15" x14ac:dyDescent="0.25">
      <c r="A40" t="s">
        <v>46</v>
      </c>
      <c r="B40" t="s">
        <v>665</v>
      </c>
      <c r="C40" t="s">
        <v>37</v>
      </c>
      <c r="D40" t="s">
        <v>49</v>
      </c>
      <c r="E40" t="s">
        <v>23</v>
      </c>
      <c r="F40">
        <v>101</v>
      </c>
      <c r="G40" t="s">
        <v>419</v>
      </c>
      <c r="H40" t="s">
        <v>666</v>
      </c>
      <c r="I40" t="s">
        <v>48</v>
      </c>
      <c r="J40" t="s">
        <v>37</v>
      </c>
      <c r="K40">
        <v>29</v>
      </c>
      <c r="L40" t="s">
        <v>418</v>
      </c>
      <c r="M40" t="s">
        <v>667</v>
      </c>
      <c r="N40" t="s">
        <v>668</v>
      </c>
      <c r="O40" t="s">
        <v>37</v>
      </c>
    </row>
    <row r="41" spans="1:15" x14ac:dyDescent="0.25">
      <c r="A41" t="s">
        <v>46</v>
      </c>
      <c r="B41" t="s">
        <v>669</v>
      </c>
      <c r="C41" t="s">
        <v>37</v>
      </c>
      <c r="D41" t="s">
        <v>49</v>
      </c>
      <c r="E41" t="s">
        <v>23</v>
      </c>
      <c r="F41">
        <v>258</v>
      </c>
      <c r="G41" t="s">
        <v>85</v>
      </c>
      <c r="H41" t="s">
        <v>670</v>
      </c>
      <c r="I41" t="s">
        <v>48</v>
      </c>
      <c r="J41" t="s">
        <v>37</v>
      </c>
      <c r="K41">
        <v>27</v>
      </c>
      <c r="L41" t="s">
        <v>448</v>
      </c>
      <c r="M41" t="s">
        <v>671</v>
      </c>
      <c r="N41" t="s">
        <v>672</v>
      </c>
      <c r="O41" t="s">
        <v>37</v>
      </c>
    </row>
    <row r="42" spans="1:15" x14ac:dyDescent="0.25">
      <c r="A42" t="s">
        <v>46</v>
      </c>
      <c r="B42" t="s">
        <v>673</v>
      </c>
      <c r="C42" t="s">
        <v>3</v>
      </c>
      <c r="D42" t="s">
        <v>674</v>
      </c>
      <c r="E42" t="s">
        <v>675</v>
      </c>
      <c r="F42">
        <v>455</v>
      </c>
      <c r="G42" t="s">
        <v>98</v>
      </c>
      <c r="H42" t="s">
        <v>676</v>
      </c>
      <c r="I42" t="s">
        <v>48</v>
      </c>
      <c r="J42" t="s">
        <v>48</v>
      </c>
      <c r="K42">
        <v>27</v>
      </c>
      <c r="L42" t="s">
        <v>677</v>
      </c>
      <c r="M42" t="s">
        <v>678</v>
      </c>
      <c r="N42" t="s">
        <v>679</v>
      </c>
      <c r="O42" t="s">
        <v>680</v>
      </c>
    </row>
    <row r="43" spans="1:15" x14ac:dyDescent="0.25">
      <c r="A43" t="s">
        <v>46</v>
      </c>
      <c r="B43" t="s">
        <v>218</v>
      </c>
      <c r="C43" t="s">
        <v>37</v>
      </c>
      <c r="D43" t="s">
        <v>49</v>
      </c>
      <c r="E43" t="s">
        <v>23</v>
      </c>
      <c r="F43">
        <v>132</v>
      </c>
      <c r="G43" t="s">
        <v>101</v>
      </c>
      <c r="H43" t="s">
        <v>219</v>
      </c>
      <c r="I43" t="s">
        <v>48</v>
      </c>
      <c r="J43" t="s">
        <v>37</v>
      </c>
      <c r="K43">
        <v>26</v>
      </c>
      <c r="L43" t="s">
        <v>184</v>
      </c>
      <c r="M43" t="s">
        <v>220</v>
      </c>
      <c r="N43" t="s">
        <v>221</v>
      </c>
      <c r="O43" t="s">
        <v>681</v>
      </c>
    </row>
    <row r="44" spans="1:15" x14ac:dyDescent="0.25">
      <c r="A44" t="s">
        <v>46</v>
      </c>
      <c r="B44" t="s">
        <v>222</v>
      </c>
      <c r="C44" t="s">
        <v>37</v>
      </c>
      <c r="D44" t="s">
        <v>47</v>
      </c>
      <c r="E44" t="s">
        <v>23</v>
      </c>
      <c r="F44">
        <v>5</v>
      </c>
      <c r="G44" t="s">
        <v>25</v>
      </c>
      <c r="H44" t="s">
        <v>223</v>
      </c>
      <c r="I44" t="s">
        <v>48</v>
      </c>
      <c r="J44" t="s">
        <v>48</v>
      </c>
      <c r="K44">
        <v>25</v>
      </c>
      <c r="L44" t="s">
        <v>175</v>
      </c>
      <c r="M44" t="s">
        <v>224</v>
      </c>
      <c r="N44" t="s">
        <v>225</v>
      </c>
      <c r="O44" t="s">
        <v>51</v>
      </c>
    </row>
    <row r="45" spans="1:15" x14ac:dyDescent="0.25">
      <c r="A45" t="s">
        <v>46</v>
      </c>
      <c r="B45" t="s">
        <v>158</v>
      </c>
      <c r="C45" t="s">
        <v>37</v>
      </c>
      <c r="D45" t="s">
        <v>47</v>
      </c>
      <c r="E45" t="s">
        <v>23</v>
      </c>
      <c r="F45">
        <v>161</v>
      </c>
      <c r="G45" t="s">
        <v>26</v>
      </c>
      <c r="H45" t="s">
        <v>226</v>
      </c>
      <c r="I45" t="s">
        <v>48</v>
      </c>
      <c r="J45" t="s">
        <v>37</v>
      </c>
      <c r="K45">
        <v>24</v>
      </c>
      <c r="L45" t="s">
        <v>167</v>
      </c>
      <c r="M45" t="s">
        <v>227</v>
      </c>
      <c r="N45" t="s">
        <v>228</v>
      </c>
      <c r="O45" t="s">
        <v>51</v>
      </c>
    </row>
    <row r="46" spans="1:15" x14ac:dyDescent="0.25">
      <c r="A46" t="s">
        <v>46</v>
      </c>
      <c r="B46" t="s">
        <v>682</v>
      </c>
      <c r="C46" t="s">
        <v>37</v>
      </c>
      <c r="D46" t="s">
        <v>49</v>
      </c>
      <c r="E46" t="s">
        <v>23</v>
      </c>
      <c r="F46">
        <v>295</v>
      </c>
      <c r="G46" t="s">
        <v>94</v>
      </c>
      <c r="H46" t="s">
        <v>683</v>
      </c>
      <c r="I46" t="s">
        <v>48</v>
      </c>
      <c r="J46" t="s">
        <v>37</v>
      </c>
      <c r="K46">
        <v>24</v>
      </c>
      <c r="L46" t="s">
        <v>490</v>
      </c>
      <c r="M46" t="s">
        <v>684</v>
      </c>
      <c r="N46" t="s">
        <v>685</v>
      </c>
      <c r="O46" t="s">
        <v>37</v>
      </c>
    </row>
    <row r="47" spans="1:15" x14ac:dyDescent="0.25">
      <c r="A47" t="s">
        <v>46</v>
      </c>
      <c r="B47" t="s">
        <v>273</v>
      </c>
      <c r="C47" t="s">
        <v>37</v>
      </c>
      <c r="D47" t="s">
        <v>47</v>
      </c>
      <c r="E47" t="s">
        <v>23</v>
      </c>
      <c r="F47">
        <v>194</v>
      </c>
      <c r="G47" t="s">
        <v>97</v>
      </c>
      <c r="H47" t="s">
        <v>686</v>
      </c>
      <c r="I47" t="s">
        <v>81</v>
      </c>
      <c r="J47" t="s">
        <v>37</v>
      </c>
      <c r="K47">
        <v>23</v>
      </c>
      <c r="L47" t="s">
        <v>378</v>
      </c>
      <c r="M47" t="s">
        <v>687</v>
      </c>
      <c r="N47" t="s">
        <v>688</v>
      </c>
      <c r="O47" t="s">
        <v>51</v>
      </c>
    </row>
    <row r="48" spans="1:15" x14ac:dyDescent="0.25">
      <c r="A48" t="s">
        <v>46</v>
      </c>
      <c r="B48" t="s">
        <v>689</v>
      </c>
      <c r="C48" t="s">
        <v>37</v>
      </c>
      <c r="D48" t="s">
        <v>47</v>
      </c>
      <c r="E48" t="s">
        <v>23</v>
      </c>
      <c r="F48">
        <v>13</v>
      </c>
      <c r="G48" t="s">
        <v>395</v>
      </c>
      <c r="H48" t="s">
        <v>690</v>
      </c>
      <c r="I48" t="s">
        <v>48</v>
      </c>
      <c r="J48" t="s">
        <v>37</v>
      </c>
      <c r="K48">
        <v>23</v>
      </c>
      <c r="L48" t="s">
        <v>405</v>
      </c>
      <c r="M48" t="s">
        <v>691</v>
      </c>
      <c r="N48" t="s">
        <v>692</v>
      </c>
      <c r="O48" t="s">
        <v>51</v>
      </c>
    </row>
    <row r="49" spans="1:15" x14ac:dyDescent="0.25">
      <c r="A49" t="s">
        <v>46</v>
      </c>
      <c r="B49" t="s">
        <v>229</v>
      </c>
      <c r="C49" t="s">
        <v>37</v>
      </c>
      <c r="D49" t="s">
        <v>49</v>
      </c>
      <c r="E49" t="s">
        <v>23</v>
      </c>
      <c r="F49">
        <v>43</v>
      </c>
      <c r="G49" t="s">
        <v>127</v>
      </c>
      <c r="H49" t="s">
        <v>230</v>
      </c>
      <c r="I49" t="s">
        <v>48</v>
      </c>
      <c r="J49" t="s">
        <v>37</v>
      </c>
      <c r="K49">
        <v>21</v>
      </c>
      <c r="L49" t="s">
        <v>178</v>
      </c>
      <c r="M49" t="s">
        <v>231</v>
      </c>
      <c r="N49" t="s">
        <v>232</v>
      </c>
      <c r="O49" t="s">
        <v>37</v>
      </c>
    </row>
    <row r="50" spans="1:15" x14ac:dyDescent="0.25">
      <c r="A50" t="s">
        <v>46</v>
      </c>
      <c r="B50" t="s">
        <v>693</v>
      </c>
      <c r="C50" t="s">
        <v>37</v>
      </c>
      <c r="D50" t="s">
        <v>49</v>
      </c>
      <c r="E50" t="s">
        <v>23</v>
      </c>
      <c r="F50">
        <v>35</v>
      </c>
      <c r="G50" t="s">
        <v>91</v>
      </c>
      <c r="H50" t="s">
        <v>694</v>
      </c>
      <c r="I50" t="s">
        <v>48</v>
      </c>
      <c r="J50" t="s">
        <v>37</v>
      </c>
      <c r="K50">
        <v>21</v>
      </c>
      <c r="L50" t="s">
        <v>453</v>
      </c>
      <c r="M50" t="s">
        <v>695</v>
      </c>
      <c r="N50" t="s">
        <v>696</v>
      </c>
      <c r="O50" t="s">
        <v>37</v>
      </c>
    </row>
    <row r="51" spans="1:15" x14ac:dyDescent="0.25">
      <c r="A51" t="s">
        <v>46</v>
      </c>
      <c r="B51" t="s">
        <v>697</v>
      </c>
      <c r="C51" t="s">
        <v>37</v>
      </c>
      <c r="D51" t="s">
        <v>49</v>
      </c>
      <c r="E51" t="s">
        <v>23</v>
      </c>
      <c r="F51">
        <v>363</v>
      </c>
      <c r="G51" t="s">
        <v>468</v>
      </c>
      <c r="H51" t="s">
        <v>698</v>
      </c>
      <c r="I51" t="s">
        <v>48</v>
      </c>
      <c r="J51" t="s">
        <v>37</v>
      </c>
      <c r="K51">
        <v>17</v>
      </c>
      <c r="L51" t="s">
        <v>467</v>
      </c>
      <c r="M51" t="s">
        <v>699</v>
      </c>
      <c r="N51" t="s">
        <v>700</v>
      </c>
      <c r="O51" t="s">
        <v>37</v>
      </c>
    </row>
    <row r="52" spans="1:15" x14ac:dyDescent="0.25">
      <c r="A52" t="s">
        <v>46</v>
      </c>
      <c r="B52" t="s">
        <v>701</v>
      </c>
      <c r="C52" t="s">
        <v>37</v>
      </c>
      <c r="D52" t="s">
        <v>49</v>
      </c>
      <c r="E52" t="s">
        <v>23</v>
      </c>
      <c r="F52">
        <v>344</v>
      </c>
      <c r="G52" t="s">
        <v>421</v>
      </c>
      <c r="H52" t="s">
        <v>702</v>
      </c>
      <c r="I52" t="s">
        <v>48</v>
      </c>
      <c r="J52" t="s">
        <v>37</v>
      </c>
      <c r="K52">
        <v>16</v>
      </c>
      <c r="L52" t="s">
        <v>420</v>
      </c>
      <c r="M52" t="s">
        <v>703</v>
      </c>
      <c r="N52" t="s">
        <v>703</v>
      </c>
      <c r="O52" t="s">
        <v>37</v>
      </c>
    </row>
    <row r="53" spans="1:15" x14ac:dyDescent="0.25">
      <c r="A53" t="s">
        <v>46</v>
      </c>
      <c r="B53" t="s">
        <v>704</v>
      </c>
      <c r="C53" t="s">
        <v>37</v>
      </c>
      <c r="D53" t="s">
        <v>49</v>
      </c>
      <c r="E53" t="s">
        <v>23</v>
      </c>
      <c r="F53">
        <v>193</v>
      </c>
      <c r="G53" t="s">
        <v>117</v>
      </c>
      <c r="H53" t="s">
        <v>705</v>
      </c>
      <c r="I53" t="s">
        <v>48</v>
      </c>
      <c r="J53" t="s">
        <v>37</v>
      </c>
      <c r="K53">
        <v>16</v>
      </c>
      <c r="L53" t="s">
        <v>434</v>
      </c>
      <c r="M53" t="s">
        <v>706</v>
      </c>
      <c r="N53" t="s">
        <v>707</v>
      </c>
      <c r="O53" t="s">
        <v>37</v>
      </c>
    </row>
    <row r="54" spans="1:15" x14ac:dyDescent="0.25">
      <c r="A54" t="s">
        <v>46</v>
      </c>
      <c r="B54" t="s">
        <v>708</v>
      </c>
      <c r="C54" t="s">
        <v>37</v>
      </c>
      <c r="D54" t="s">
        <v>49</v>
      </c>
      <c r="E54" t="s">
        <v>23</v>
      </c>
      <c r="F54">
        <v>115</v>
      </c>
      <c r="G54" t="s">
        <v>93</v>
      </c>
      <c r="H54" t="s">
        <v>709</v>
      </c>
      <c r="I54" t="s">
        <v>48</v>
      </c>
      <c r="J54" t="s">
        <v>37</v>
      </c>
      <c r="K54">
        <v>16</v>
      </c>
      <c r="L54" t="s">
        <v>446</v>
      </c>
      <c r="M54" t="s">
        <v>710</v>
      </c>
      <c r="N54" t="s">
        <v>711</v>
      </c>
      <c r="O54" t="s">
        <v>37</v>
      </c>
    </row>
    <row r="55" spans="1:15" x14ac:dyDescent="0.25">
      <c r="A55" t="s">
        <v>46</v>
      </c>
      <c r="B55" t="s">
        <v>712</v>
      </c>
      <c r="C55" t="s">
        <v>37</v>
      </c>
      <c r="D55" t="s">
        <v>47</v>
      </c>
      <c r="E55" t="s">
        <v>23</v>
      </c>
      <c r="F55">
        <v>427</v>
      </c>
      <c r="G55" t="s">
        <v>411</v>
      </c>
      <c r="H55" t="s">
        <v>713</v>
      </c>
      <c r="I55" t="s">
        <v>48</v>
      </c>
      <c r="J55" t="s">
        <v>37</v>
      </c>
      <c r="K55">
        <v>15</v>
      </c>
      <c r="L55" t="s">
        <v>410</v>
      </c>
      <c r="M55" t="s">
        <v>714</v>
      </c>
      <c r="N55" t="s">
        <v>715</v>
      </c>
      <c r="O55" t="s">
        <v>50</v>
      </c>
    </row>
    <row r="56" spans="1:15" x14ac:dyDescent="0.25">
      <c r="A56" t="s">
        <v>46</v>
      </c>
      <c r="B56" t="s">
        <v>233</v>
      </c>
      <c r="C56" t="s">
        <v>37</v>
      </c>
      <c r="D56" t="s">
        <v>47</v>
      </c>
      <c r="E56" t="s">
        <v>23</v>
      </c>
      <c r="F56">
        <v>105</v>
      </c>
      <c r="G56" t="s">
        <v>108</v>
      </c>
      <c r="H56" t="s">
        <v>234</v>
      </c>
      <c r="I56" t="s">
        <v>48</v>
      </c>
      <c r="J56" t="s">
        <v>37</v>
      </c>
      <c r="K56">
        <v>14</v>
      </c>
      <c r="L56" t="s">
        <v>169</v>
      </c>
      <c r="M56" t="s">
        <v>235</v>
      </c>
      <c r="N56" t="s">
        <v>236</v>
      </c>
      <c r="O56" t="s">
        <v>59</v>
      </c>
    </row>
    <row r="57" spans="1:15" x14ac:dyDescent="0.25">
      <c r="A57" t="s">
        <v>46</v>
      </c>
      <c r="B57" t="s">
        <v>716</v>
      </c>
      <c r="C57" t="s">
        <v>37</v>
      </c>
      <c r="D57" t="s">
        <v>49</v>
      </c>
      <c r="E57" t="s">
        <v>23</v>
      </c>
      <c r="F57">
        <v>5</v>
      </c>
      <c r="G57" t="s">
        <v>25</v>
      </c>
      <c r="H57" t="s">
        <v>717</v>
      </c>
      <c r="I57" t="s">
        <v>48</v>
      </c>
      <c r="J57" t="s">
        <v>37</v>
      </c>
      <c r="K57">
        <v>14</v>
      </c>
      <c r="L57" t="s">
        <v>515</v>
      </c>
      <c r="M57" t="s">
        <v>718</v>
      </c>
      <c r="N57" t="s">
        <v>719</v>
      </c>
      <c r="O57" t="s">
        <v>37</v>
      </c>
    </row>
    <row r="58" spans="1:15" x14ac:dyDescent="0.25">
      <c r="A58" t="s">
        <v>46</v>
      </c>
      <c r="B58" t="s">
        <v>720</v>
      </c>
      <c r="C58" t="s">
        <v>37</v>
      </c>
      <c r="D58" t="s">
        <v>49</v>
      </c>
      <c r="E58" t="s">
        <v>23</v>
      </c>
      <c r="F58">
        <v>321</v>
      </c>
      <c r="G58" t="s">
        <v>88</v>
      </c>
      <c r="H58" t="s">
        <v>721</v>
      </c>
      <c r="I58" t="s">
        <v>48</v>
      </c>
      <c r="J58" t="s">
        <v>37</v>
      </c>
      <c r="K58">
        <v>14</v>
      </c>
      <c r="L58" t="s">
        <v>498</v>
      </c>
      <c r="M58" t="s">
        <v>722</v>
      </c>
      <c r="N58" t="s">
        <v>723</v>
      </c>
      <c r="O58" t="s">
        <v>37</v>
      </c>
    </row>
    <row r="59" spans="1:15" x14ac:dyDescent="0.25">
      <c r="A59" t="s">
        <v>46</v>
      </c>
      <c r="B59" t="s">
        <v>724</v>
      </c>
      <c r="C59" t="s">
        <v>37</v>
      </c>
      <c r="D59" t="s">
        <v>49</v>
      </c>
      <c r="E59" t="s">
        <v>23</v>
      </c>
      <c r="F59">
        <v>243</v>
      </c>
      <c r="G59" t="s">
        <v>174</v>
      </c>
      <c r="H59" t="s">
        <v>725</v>
      </c>
      <c r="I59" t="s">
        <v>48</v>
      </c>
      <c r="J59" t="s">
        <v>37</v>
      </c>
      <c r="K59">
        <v>13</v>
      </c>
      <c r="L59" t="s">
        <v>400</v>
      </c>
      <c r="M59" t="s">
        <v>726</v>
      </c>
      <c r="N59" t="s">
        <v>727</v>
      </c>
      <c r="O59" t="s">
        <v>37</v>
      </c>
    </row>
    <row r="60" spans="1:15" x14ac:dyDescent="0.25">
      <c r="A60" t="s">
        <v>46</v>
      </c>
      <c r="B60" t="s">
        <v>728</v>
      </c>
      <c r="C60" t="s">
        <v>37</v>
      </c>
      <c r="D60" t="s">
        <v>49</v>
      </c>
      <c r="E60" t="s">
        <v>23</v>
      </c>
      <c r="F60">
        <v>205</v>
      </c>
      <c r="G60" t="s">
        <v>460</v>
      </c>
      <c r="H60" t="s">
        <v>729</v>
      </c>
      <c r="I60" t="s">
        <v>48</v>
      </c>
      <c r="J60" t="s">
        <v>37</v>
      </c>
      <c r="K60">
        <v>13</v>
      </c>
      <c r="L60" t="s">
        <v>461</v>
      </c>
      <c r="M60" t="s">
        <v>730</v>
      </c>
      <c r="N60" t="s">
        <v>731</v>
      </c>
      <c r="O60" t="s">
        <v>37</v>
      </c>
    </row>
    <row r="61" spans="1:15" x14ac:dyDescent="0.25">
      <c r="A61" t="s">
        <v>46</v>
      </c>
      <c r="B61" t="s">
        <v>732</v>
      </c>
      <c r="C61" t="s">
        <v>37</v>
      </c>
      <c r="D61" t="s">
        <v>47</v>
      </c>
      <c r="E61" t="s">
        <v>23</v>
      </c>
      <c r="F61">
        <v>8</v>
      </c>
      <c r="G61" t="s">
        <v>100</v>
      </c>
      <c r="H61" t="s">
        <v>733</v>
      </c>
      <c r="I61" t="s">
        <v>48</v>
      </c>
      <c r="J61" t="s">
        <v>37</v>
      </c>
      <c r="K61">
        <v>13</v>
      </c>
      <c r="L61" t="s">
        <v>507</v>
      </c>
      <c r="M61" t="s">
        <v>734</v>
      </c>
      <c r="N61" t="s">
        <v>565</v>
      </c>
      <c r="O61" t="s">
        <v>50</v>
      </c>
    </row>
    <row r="62" spans="1:15" x14ac:dyDescent="0.25">
      <c r="A62" t="s">
        <v>46</v>
      </c>
      <c r="B62" t="s">
        <v>237</v>
      </c>
      <c r="C62" t="s">
        <v>37</v>
      </c>
      <c r="D62" t="s">
        <v>47</v>
      </c>
      <c r="E62" t="s">
        <v>23</v>
      </c>
      <c r="F62">
        <v>396</v>
      </c>
      <c r="G62" t="s">
        <v>99</v>
      </c>
      <c r="H62" t="s">
        <v>238</v>
      </c>
      <c r="I62" t="s">
        <v>48</v>
      </c>
      <c r="J62" t="s">
        <v>37</v>
      </c>
      <c r="K62">
        <v>11</v>
      </c>
      <c r="L62" t="s">
        <v>179</v>
      </c>
      <c r="M62" t="s">
        <v>239</v>
      </c>
      <c r="N62" t="s">
        <v>240</v>
      </c>
      <c r="O62" t="s">
        <v>557</v>
      </c>
    </row>
    <row r="63" spans="1:15" x14ac:dyDescent="0.25">
      <c r="A63" t="s">
        <v>46</v>
      </c>
      <c r="B63" t="s">
        <v>735</v>
      </c>
      <c r="C63" t="s">
        <v>37</v>
      </c>
      <c r="D63" t="s">
        <v>49</v>
      </c>
      <c r="E63" t="s">
        <v>23</v>
      </c>
      <c r="F63">
        <v>299</v>
      </c>
      <c r="G63" t="s">
        <v>402</v>
      </c>
      <c r="H63" t="s">
        <v>736</v>
      </c>
      <c r="I63" t="s">
        <v>48</v>
      </c>
      <c r="J63" t="s">
        <v>48</v>
      </c>
      <c r="K63">
        <v>11</v>
      </c>
      <c r="L63" t="s">
        <v>406</v>
      </c>
      <c r="M63" t="s">
        <v>737</v>
      </c>
      <c r="N63" t="s">
        <v>738</v>
      </c>
      <c r="O63" t="s">
        <v>557</v>
      </c>
    </row>
    <row r="64" spans="1:15" x14ac:dyDescent="0.25">
      <c r="A64" t="s">
        <v>46</v>
      </c>
      <c r="B64" t="s">
        <v>739</v>
      </c>
      <c r="C64" t="s">
        <v>37</v>
      </c>
      <c r="D64" t="s">
        <v>47</v>
      </c>
      <c r="E64" t="s">
        <v>23</v>
      </c>
      <c r="F64">
        <v>26</v>
      </c>
      <c r="G64" t="s">
        <v>27</v>
      </c>
      <c r="H64" t="s">
        <v>740</v>
      </c>
      <c r="I64" t="s">
        <v>48</v>
      </c>
      <c r="J64" t="s">
        <v>37</v>
      </c>
      <c r="K64">
        <v>11</v>
      </c>
      <c r="L64" t="s">
        <v>413</v>
      </c>
      <c r="M64" t="s">
        <v>741</v>
      </c>
      <c r="N64" t="s">
        <v>742</v>
      </c>
      <c r="O64" t="s">
        <v>52</v>
      </c>
    </row>
    <row r="65" spans="1:15" x14ac:dyDescent="0.25">
      <c r="A65" t="s">
        <v>46</v>
      </c>
      <c r="B65" t="s">
        <v>743</v>
      </c>
      <c r="C65" t="s">
        <v>37</v>
      </c>
      <c r="D65" t="s">
        <v>47</v>
      </c>
      <c r="E65" t="s">
        <v>23</v>
      </c>
      <c r="F65">
        <v>333</v>
      </c>
      <c r="G65" t="s">
        <v>388</v>
      </c>
      <c r="H65" t="s">
        <v>563</v>
      </c>
      <c r="I65" t="s">
        <v>48</v>
      </c>
      <c r="J65" t="s">
        <v>37</v>
      </c>
      <c r="K65">
        <v>10</v>
      </c>
      <c r="L65" t="s">
        <v>387</v>
      </c>
      <c r="M65" t="s">
        <v>744</v>
      </c>
      <c r="N65" t="s">
        <v>745</v>
      </c>
      <c r="O65" t="s">
        <v>51</v>
      </c>
    </row>
    <row r="66" spans="1:15" x14ac:dyDescent="0.25">
      <c r="A66" t="s">
        <v>46</v>
      </c>
      <c r="B66" t="s">
        <v>746</v>
      </c>
      <c r="C66" t="s">
        <v>37</v>
      </c>
      <c r="D66" t="s">
        <v>47</v>
      </c>
      <c r="E66" t="s">
        <v>23</v>
      </c>
      <c r="F66">
        <v>299</v>
      </c>
      <c r="G66" t="s">
        <v>402</v>
      </c>
      <c r="H66" t="s">
        <v>747</v>
      </c>
      <c r="I66" t="s">
        <v>48</v>
      </c>
      <c r="J66" t="s">
        <v>37</v>
      </c>
      <c r="K66">
        <v>9</v>
      </c>
      <c r="L66" t="s">
        <v>426</v>
      </c>
      <c r="M66" t="s">
        <v>748</v>
      </c>
      <c r="N66" t="s">
        <v>749</v>
      </c>
      <c r="O66" t="s">
        <v>249</v>
      </c>
    </row>
    <row r="67" spans="1:15" x14ac:dyDescent="0.25">
      <c r="A67" t="s">
        <v>46</v>
      </c>
      <c r="B67" t="s">
        <v>750</v>
      </c>
      <c r="C67" t="s">
        <v>37</v>
      </c>
      <c r="D67" t="s">
        <v>49</v>
      </c>
      <c r="E67" t="s">
        <v>23</v>
      </c>
      <c r="F67">
        <v>13</v>
      </c>
      <c r="G67" t="s">
        <v>395</v>
      </c>
      <c r="H67" t="s">
        <v>751</v>
      </c>
      <c r="I67" t="s">
        <v>48</v>
      </c>
      <c r="J67" t="s">
        <v>48</v>
      </c>
      <c r="K67">
        <v>9</v>
      </c>
      <c r="L67" t="s">
        <v>394</v>
      </c>
      <c r="M67" t="s">
        <v>752</v>
      </c>
      <c r="N67" t="s">
        <v>753</v>
      </c>
      <c r="O67" t="s">
        <v>648</v>
      </c>
    </row>
    <row r="68" spans="1:15" x14ac:dyDescent="0.25">
      <c r="A68" t="s">
        <v>46</v>
      </c>
      <c r="B68" t="s">
        <v>754</v>
      </c>
      <c r="C68" t="s">
        <v>37</v>
      </c>
      <c r="D68" t="s">
        <v>49</v>
      </c>
      <c r="E68" t="s">
        <v>23</v>
      </c>
      <c r="F68">
        <v>243</v>
      </c>
      <c r="G68" t="s">
        <v>174</v>
      </c>
      <c r="H68" t="s">
        <v>755</v>
      </c>
      <c r="I68" t="s">
        <v>48</v>
      </c>
      <c r="J68" t="s">
        <v>37</v>
      </c>
      <c r="K68">
        <v>9</v>
      </c>
      <c r="L68" t="s">
        <v>521</v>
      </c>
      <c r="M68" t="s">
        <v>756</v>
      </c>
      <c r="N68" t="s">
        <v>757</v>
      </c>
      <c r="O68" t="s">
        <v>37</v>
      </c>
    </row>
    <row r="69" spans="1:15" x14ac:dyDescent="0.25">
      <c r="A69" t="s">
        <v>46</v>
      </c>
      <c r="B69" t="s">
        <v>758</v>
      </c>
      <c r="C69" t="s">
        <v>37</v>
      </c>
      <c r="D69" t="s">
        <v>49</v>
      </c>
      <c r="E69" t="s">
        <v>23</v>
      </c>
      <c r="F69">
        <v>258</v>
      </c>
      <c r="G69" t="s">
        <v>85</v>
      </c>
      <c r="H69" t="s">
        <v>670</v>
      </c>
      <c r="I69" t="s">
        <v>48</v>
      </c>
      <c r="J69" t="s">
        <v>37</v>
      </c>
      <c r="K69">
        <v>9</v>
      </c>
      <c r="L69" t="s">
        <v>440</v>
      </c>
      <c r="M69" t="s">
        <v>759</v>
      </c>
      <c r="N69" t="s">
        <v>760</v>
      </c>
      <c r="O69" t="s">
        <v>37</v>
      </c>
    </row>
    <row r="70" spans="1:15" x14ac:dyDescent="0.25">
      <c r="A70" t="s">
        <v>46</v>
      </c>
      <c r="B70" t="s">
        <v>761</v>
      </c>
      <c r="C70" t="s">
        <v>37</v>
      </c>
      <c r="D70" t="s">
        <v>47</v>
      </c>
      <c r="E70" t="s">
        <v>23</v>
      </c>
      <c r="F70">
        <v>33</v>
      </c>
      <c r="G70" t="s">
        <v>111</v>
      </c>
      <c r="H70" t="s">
        <v>762</v>
      </c>
      <c r="I70" t="s">
        <v>48</v>
      </c>
      <c r="J70" t="s">
        <v>37</v>
      </c>
      <c r="K70">
        <v>9</v>
      </c>
      <c r="L70" t="s">
        <v>489</v>
      </c>
      <c r="M70" t="s">
        <v>763</v>
      </c>
      <c r="N70" t="s">
        <v>764</v>
      </c>
      <c r="O70" t="s">
        <v>37</v>
      </c>
    </row>
    <row r="71" spans="1:15" x14ac:dyDescent="0.25">
      <c r="A71" t="s">
        <v>46</v>
      </c>
      <c r="B71" t="s">
        <v>765</v>
      </c>
      <c r="C71" t="s">
        <v>37</v>
      </c>
      <c r="D71" t="s">
        <v>47</v>
      </c>
      <c r="E71" t="s">
        <v>23</v>
      </c>
      <c r="F71">
        <v>106</v>
      </c>
      <c r="G71" t="s">
        <v>126</v>
      </c>
      <c r="H71" t="s">
        <v>766</v>
      </c>
      <c r="I71" t="s">
        <v>48</v>
      </c>
      <c r="J71" t="s">
        <v>37</v>
      </c>
      <c r="K71">
        <v>9</v>
      </c>
      <c r="L71" t="s">
        <v>412</v>
      </c>
      <c r="M71" t="s">
        <v>767</v>
      </c>
      <c r="N71" t="s">
        <v>463</v>
      </c>
      <c r="O71" t="s">
        <v>51</v>
      </c>
    </row>
    <row r="72" spans="1:15" x14ac:dyDescent="0.25">
      <c r="A72" t="s">
        <v>46</v>
      </c>
      <c r="B72" t="s">
        <v>768</v>
      </c>
      <c r="C72" t="s">
        <v>37</v>
      </c>
      <c r="D72" t="s">
        <v>49</v>
      </c>
      <c r="E72" t="s">
        <v>23</v>
      </c>
      <c r="F72">
        <v>424</v>
      </c>
      <c r="G72" t="s">
        <v>113</v>
      </c>
      <c r="H72" t="s">
        <v>769</v>
      </c>
      <c r="I72" t="s">
        <v>48</v>
      </c>
      <c r="J72" t="s">
        <v>37</v>
      </c>
      <c r="K72">
        <v>8</v>
      </c>
      <c r="L72" t="s">
        <v>398</v>
      </c>
      <c r="M72" t="s">
        <v>770</v>
      </c>
      <c r="N72" t="s">
        <v>770</v>
      </c>
      <c r="O72" t="s">
        <v>37</v>
      </c>
    </row>
    <row r="73" spans="1:15" x14ac:dyDescent="0.25">
      <c r="A73" t="s">
        <v>46</v>
      </c>
      <c r="B73" t="s">
        <v>771</v>
      </c>
      <c r="C73" t="s">
        <v>37</v>
      </c>
      <c r="D73" t="s">
        <v>49</v>
      </c>
      <c r="E73" t="s">
        <v>23</v>
      </c>
      <c r="F73">
        <v>333</v>
      </c>
      <c r="G73" t="s">
        <v>388</v>
      </c>
      <c r="H73" t="s">
        <v>563</v>
      </c>
      <c r="I73" t="s">
        <v>48</v>
      </c>
      <c r="J73" t="s">
        <v>37</v>
      </c>
      <c r="K73">
        <v>8</v>
      </c>
      <c r="L73" t="s">
        <v>457</v>
      </c>
      <c r="M73" t="s">
        <v>772</v>
      </c>
      <c r="N73" t="s">
        <v>773</v>
      </c>
      <c r="O73" t="s">
        <v>37</v>
      </c>
    </row>
    <row r="74" spans="1:15" x14ac:dyDescent="0.25">
      <c r="A74" t="s">
        <v>46</v>
      </c>
      <c r="B74" t="s">
        <v>774</v>
      </c>
      <c r="C74" t="s">
        <v>37</v>
      </c>
      <c r="D74" t="s">
        <v>49</v>
      </c>
      <c r="E74" t="s">
        <v>23</v>
      </c>
      <c r="F74">
        <v>38</v>
      </c>
      <c r="G74" t="s">
        <v>487</v>
      </c>
      <c r="H74" t="s">
        <v>775</v>
      </c>
      <c r="I74" t="s">
        <v>48</v>
      </c>
      <c r="J74" t="s">
        <v>37</v>
      </c>
      <c r="K74">
        <v>8</v>
      </c>
      <c r="L74" t="s">
        <v>486</v>
      </c>
      <c r="M74" t="s">
        <v>657</v>
      </c>
      <c r="N74" t="s">
        <v>776</v>
      </c>
      <c r="O74" t="s">
        <v>37</v>
      </c>
    </row>
    <row r="75" spans="1:15" x14ac:dyDescent="0.25">
      <c r="A75" t="s">
        <v>46</v>
      </c>
      <c r="B75" t="s">
        <v>777</v>
      </c>
      <c r="C75" t="s">
        <v>37</v>
      </c>
      <c r="D75" t="s">
        <v>47</v>
      </c>
      <c r="E75" t="s">
        <v>23</v>
      </c>
      <c r="F75">
        <v>103</v>
      </c>
      <c r="G75" t="s">
        <v>86</v>
      </c>
      <c r="H75" t="s">
        <v>778</v>
      </c>
      <c r="I75" t="s">
        <v>48</v>
      </c>
      <c r="J75" t="s">
        <v>37</v>
      </c>
      <c r="K75">
        <v>8</v>
      </c>
      <c r="L75" t="s">
        <v>416</v>
      </c>
      <c r="M75" t="s">
        <v>564</v>
      </c>
      <c r="N75" t="s">
        <v>564</v>
      </c>
      <c r="O75" t="s">
        <v>51</v>
      </c>
    </row>
    <row r="76" spans="1:15" x14ac:dyDescent="0.25">
      <c r="A76" t="s">
        <v>46</v>
      </c>
      <c r="B76" t="s">
        <v>241</v>
      </c>
      <c r="C76" t="s">
        <v>37</v>
      </c>
      <c r="D76" t="s">
        <v>47</v>
      </c>
      <c r="E76" t="s">
        <v>23</v>
      </c>
      <c r="F76">
        <v>105</v>
      </c>
      <c r="G76" t="s">
        <v>108</v>
      </c>
      <c r="H76" t="s">
        <v>242</v>
      </c>
      <c r="I76" t="s">
        <v>48</v>
      </c>
      <c r="J76" t="s">
        <v>37</v>
      </c>
      <c r="K76">
        <v>7</v>
      </c>
      <c r="L76" t="s">
        <v>182</v>
      </c>
      <c r="M76" t="s">
        <v>243</v>
      </c>
      <c r="N76" t="s">
        <v>244</v>
      </c>
      <c r="O76" t="s">
        <v>51</v>
      </c>
    </row>
    <row r="77" spans="1:15" x14ac:dyDescent="0.25">
      <c r="A77" t="s">
        <v>46</v>
      </c>
      <c r="B77" t="s">
        <v>779</v>
      </c>
      <c r="C77" t="s">
        <v>37</v>
      </c>
      <c r="D77" t="s">
        <v>47</v>
      </c>
      <c r="E77" t="s">
        <v>23</v>
      </c>
      <c r="F77">
        <v>652</v>
      </c>
      <c r="G77" t="s">
        <v>384</v>
      </c>
      <c r="H77" t="s">
        <v>780</v>
      </c>
      <c r="I77" t="s">
        <v>48</v>
      </c>
      <c r="J77" t="s">
        <v>37</v>
      </c>
      <c r="K77">
        <v>7</v>
      </c>
      <c r="L77" t="s">
        <v>386</v>
      </c>
      <c r="M77" t="s">
        <v>453</v>
      </c>
      <c r="N77" t="s">
        <v>781</v>
      </c>
      <c r="O77" t="s">
        <v>557</v>
      </c>
    </row>
    <row r="78" spans="1:15" x14ac:dyDescent="0.25">
      <c r="A78" t="s">
        <v>46</v>
      </c>
      <c r="B78" t="s">
        <v>782</v>
      </c>
      <c r="C78" t="s">
        <v>37</v>
      </c>
      <c r="D78" t="s">
        <v>47</v>
      </c>
      <c r="E78" t="s">
        <v>23</v>
      </c>
      <c r="F78">
        <v>455</v>
      </c>
      <c r="G78" t="s">
        <v>98</v>
      </c>
      <c r="H78" t="s">
        <v>783</v>
      </c>
      <c r="I78" t="s">
        <v>48</v>
      </c>
      <c r="J78" t="s">
        <v>37</v>
      </c>
      <c r="K78">
        <v>7</v>
      </c>
      <c r="L78" t="s">
        <v>390</v>
      </c>
      <c r="M78" t="s">
        <v>784</v>
      </c>
      <c r="N78" t="s">
        <v>785</v>
      </c>
      <c r="O78" t="s">
        <v>51</v>
      </c>
    </row>
    <row r="79" spans="1:15" x14ac:dyDescent="0.25">
      <c r="A79" t="s">
        <v>46</v>
      </c>
      <c r="B79" t="s">
        <v>786</v>
      </c>
      <c r="C79" t="s">
        <v>37</v>
      </c>
      <c r="D79" t="s">
        <v>47</v>
      </c>
      <c r="E79" t="s">
        <v>23</v>
      </c>
      <c r="F79">
        <v>105</v>
      </c>
      <c r="G79" t="s">
        <v>108</v>
      </c>
      <c r="H79" t="s">
        <v>787</v>
      </c>
      <c r="I79" t="s">
        <v>48</v>
      </c>
      <c r="J79" t="s">
        <v>37</v>
      </c>
      <c r="K79">
        <v>7</v>
      </c>
      <c r="L79" t="s">
        <v>399</v>
      </c>
      <c r="M79" t="s">
        <v>788</v>
      </c>
      <c r="N79" t="s">
        <v>789</v>
      </c>
      <c r="O79" t="s">
        <v>52</v>
      </c>
    </row>
    <row r="80" spans="1:15" x14ac:dyDescent="0.25">
      <c r="A80" t="s">
        <v>46</v>
      </c>
      <c r="B80" t="s">
        <v>790</v>
      </c>
      <c r="C80" t="s">
        <v>37</v>
      </c>
      <c r="D80" t="s">
        <v>49</v>
      </c>
      <c r="E80" t="s">
        <v>23</v>
      </c>
      <c r="F80">
        <v>26</v>
      </c>
      <c r="G80" t="s">
        <v>27</v>
      </c>
      <c r="H80" t="s">
        <v>791</v>
      </c>
      <c r="I80" t="s">
        <v>48</v>
      </c>
      <c r="J80" t="s">
        <v>37</v>
      </c>
      <c r="K80">
        <v>6</v>
      </c>
      <c r="L80" t="s">
        <v>377</v>
      </c>
      <c r="M80" t="s">
        <v>792</v>
      </c>
      <c r="N80" t="s">
        <v>793</v>
      </c>
      <c r="O80" t="s">
        <v>37</v>
      </c>
    </row>
    <row r="81" spans="1:15" x14ac:dyDescent="0.25">
      <c r="A81" t="s">
        <v>46</v>
      </c>
      <c r="B81" t="s">
        <v>794</v>
      </c>
      <c r="C81" t="s">
        <v>37</v>
      </c>
      <c r="D81" t="s">
        <v>47</v>
      </c>
      <c r="E81" t="s">
        <v>23</v>
      </c>
      <c r="F81">
        <v>162</v>
      </c>
      <c r="G81" t="s">
        <v>28</v>
      </c>
      <c r="H81" t="s">
        <v>118</v>
      </c>
      <c r="I81" t="s">
        <v>48</v>
      </c>
      <c r="J81" t="s">
        <v>37</v>
      </c>
      <c r="K81">
        <v>6</v>
      </c>
      <c r="L81" t="s">
        <v>393</v>
      </c>
      <c r="M81" t="s">
        <v>795</v>
      </c>
      <c r="N81" t="s">
        <v>796</v>
      </c>
      <c r="O81" t="s">
        <v>51</v>
      </c>
    </row>
    <row r="82" spans="1:15" x14ac:dyDescent="0.25">
      <c r="A82" t="s">
        <v>46</v>
      </c>
      <c r="B82" t="s">
        <v>797</v>
      </c>
      <c r="C82" t="s">
        <v>37</v>
      </c>
      <c r="D82" t="s">
        <v>47</v>
      </c>
      <c r="E82" t="s">
        <v>23</v>
      </c>
      <c r="F82">
        <v>299</v>
      </c>
      <c r="G82" t="s">
        <v>402</v>
      </c>
      <c r="H82" t="s">
        <v>798</v>
      </c>
      <c r="I82" t="s">
        <v>48</v>
      </c>
      <c r="J82" t="s">
        <v>37</v>
      </c>
      <c r="K82">
        <v>6</v>
      </c>
      <c r="L82" t="s">
        <v>401</v>
      </c>
      <c r="M82" t="s">
        <v>799</v>
      </c>
      <c r="N82" t="s">
        <v>800</v>
      </c>
      <c r="O82" t="s">
        <v>50</v>
      </c>
    </row>
    <row r="83" spans="1:15" x14ac:dyDescent="0.25">
      <c r="A83" t="s">
        <v>46</v>
      </c>
      <c r="B83" t="s">
        <v>801</v>
      </c>
      <c r="C83" t="s">
        <v>37</v>
      </c>
      <c r="D83" t="s">
        <v>49</v>
      </c>
      <c r="E83" t="s">
        <v>23</v>
      </c>
      <c r="F83">
        <v>161</v>
      </c>
      <c r="G83" t="s">
        <v>26</v>
      </c>
      <c r="H83" t="s">
        <v>802</v>
      </c>
      <c r="I83" t="s">
        <v>48</v>
      </c>
      <c r="J83" t="s">
        <v>37</v>
      </c>
      <c r="K83">
        <v>6</v>
      </c>
      <c r="L83" t="s">
        <v>404</v>
      </c>
      <c r="M83" t="s">
        <v>405</v>
      </c>
      <c r="N83" t="s">
        <v>803</v>
      </c>
      <c r="O83" t="s">
        <v>37</v>
      </c>
    </row>
    <row r="84" spans="1:15" x14ac:dyDescent="0.25">
      <c r="A84" t="s">
        <v>46</v>
      </c>
      <c r="B84" t="s">
        <v>245</v>
      </c>
      <c r="C84" t="s">
        <v>37</v>
      </c>
      <c r="D84" t="s">
        <v>49</v>
      </c>
      <c r="E84" t="s">
        <v>23</v>
      </c>
      <c r="F84">
        <v>370</v>
      </c>
      <c r="G84" t="s">
        <v>163</v>
      </c>
      <c r="H84" t="s">
        <v>246</v>
      </c>
      <c r="I84" t="s">
        <v>48</v>
      </c>
      <c r="J84" t="s">
        <v>37</v>
      </c>
      <c r="K84">
        <v>5</v>
      </c>
      <c r="L84" t="s">
        <v>166</v>
      </c>
      <c r="M84" t="s">
        <v>247</v>
      </c>
      <c r="N84" t="s">
        <v>248</v>
      </c>
      <c r="O84" t="s">
        <v>37</v>
      </c>
    </row>
    <row r="85" spans="1:15" x14ac:dyDescent="0.25">
      <c r="A85" t="s">
        <v>46</v>
      </c>
      <c r="B85" t="s">
        <v>804</v>
      </c>
      <c r="C85" t="s">
        <v>37</v>
      </c>
      <c r="D85" t="s">
        <v>47</v>
      </c>
      <c r="E85" t="s">
        <v>23</v>
      </c>
      <c r="F85">
        <v>239</v>
      </c>
      <c r="G85" t="s">
        <v>428</v>
      </c>
      <c r="H85" t="s">
        <v>805</v>
      </c>
      <c r="I85" t="s">
        <v>48</v>
      </c>
      <c r="J85" t="s">
        <v>37</v>
      </c>
      <c r="K85">
        <v>5</v>
      </c>
      <c r="L85" t="s">
        <v>427</v>
      </c>
      <c r="M85" t="s">
        <v>806</v>
      </c>
      <c r="N85" t="s">
        <v>807</v>
      </c>
      <c r="O85" t="s">
        <v>50</v>
      </c>
    </row>
    <row r="86" spans="1:15" x14ac:dyDescent="0.25">
      <c r="A86" t="s">
        <v>46</v>
      </c>
      <c r="B86" t="s">
        <v>808</v>
      </c>
      <c r="C86" t="s">
        <v>3</v>
      </c>
      <c r="D86" t="s">
        <v>49</v>
      </c>
      <c r="E86" t="s">
        <v>809</v>
      </c>
      <c r="F86">
        <v>350</v>
      </c>
      <c r="G86" t="s">
        <v>24</v>
      </c>
      <c r="H86" t="s">
        <v>810</v>
      </c>
      <c r="I86" t="s">
        <v>48</v>
      </c>
      <c r="J86" t="s">
        <v>37</v>
      </c>
      <c r="K86">
        <v>5</v>
      </c>
      <c r="L86" t="s">
        <v>811</v>
      </c>
      <c r="M86" t="s">
        <v>812</v>
      </c>
      <c r="N86" t="s">
        <v>813</v>
      </c>
      <c r="O86" t="s">
        <v>814</v>
      </c>
    </row>
    <row r="87" spans="1:15" x14ac:dyDescent="0.25">
      <c r="A87" t="s">
        <v>46</v>
      </c>
      <c r="B87" t="s">
        <v>280</v>
      </c>
      <c r="C87" t="s">
        <v>37</v>
      </c>
      <c r="D87" t="s">
        <v>47</v>
      </c>
      <c r="E87" t="s">
        <v>23</v>
      </c>
      <c r="F87">
        <v>652</v>
      </c>
      <c r="G87" t="s">
        <v>384</v>
      </c>
      <c r="H87" t="s">
        <v>815</v>
      </c>
      <c r="I87" t="s">
        <v>48</v>
      </c>
      <c r="J87" t="s">
        <v>48</v>
      </c>
      <c r="K87">
        <v>4</v>
      </c>
      <c r="L87" t="s">
        <v>383</v>
      </c>
      <c r="M87" t="s">
        <v>386</v>
      </c>
      <c r="N87" t="s">
        <v>816</v>
      </c>
      <c r="O87" t="s">
        <v>51</v>
      </c>
    </row>
    <row r="88" spans="1:15" x14ac:dyDescent="0.25">
      <c r="A88" t="s">
        <v>46</v>
      </c>
      <c r="B88" t="s">
        <v>817</v>
      </c>
      <c r="C88" t="s">
        <v>37</v>
      </c>
      <c r="D88" t="s">
        <v>49</v>
      </c>
      <c r="E88" t="s">
        <v>23</v>
      </c>
      <c r="F88">
        <v>470</v>
      </c>
      <c r="G88" t="s">
        <v>392</v>
      </c>
      <c r="H88" t="s">
        <v>818</v>
      </c>
      <c r="I88" t="s">
        <v>48</v>
      </c>
      <c r="J88" t="s">
        <v>37</v>
      </c>
      <c r="K88">
        <v>4</v>
      </c>
      <c r="L88" t="s">
        <v>500</v>
      </c>
      <c r="M88" t="s">
        <v>819</v>
      </c>
      <c r="N88" t="s">
        <v>819</v>
      </c>
      <c r="O88" t="s">
        <v>37</v>
      </c>
    </row>
    <row r="89" spans="1:15" x14ac:dyDescent="0.25">
      <c r="A89" t="s">
        <v>46</v>
      </c>
      <c r="B89" t="s">
        <v>820</v>
      </c>
      <c r="C89" t="s">
        <v>37</v>
      </c>
      <c r="D89" t="s">
        <v>49</v>
      </c>
      <c r="E89" t="s">
        <v>23</v>
      </c>
      <c r="F89">
        <v>115</v>
      </c>
      <c r="G89" t="s">
        <v>93</v>
      </c>
      <c r="H89" t="s">
        <v>821</v>
      </c>
      <c r="I89" t="s">
        <v>48</v>
      </c>
      <c r="J89" t="s">
        <v>37</v>
      </c>
      <c r="K89">
        <v>4</v>
      </c>
      <c r="L89" t="s">
        <v>441</v>
      </c>
      <c r="M89" t="s">
        <v>822</v>
      </c>
      <c r="N89" t="s">
        <v>823</v>
      </c>
      <c r="O89" t="s">
        <v>37</v>
      </c>
    </row>
    <row r="90" spans="1:15" x14ac:dyDescent="0.25">
      <c r="A90" t="s">
        <v>46</v>
      </c>
      <c r="B90" t="s">
        <v>824</v>
      </c>
      <c r="C90" t="s">
        <v>37</v>
      </c>
      <c r="D90" t="s">
        <v>49</v>
      </c>
      <c r="E90" t="s">
        <v>23</v>
      </c>
      <c r="F90">
        <v>344</v>
      </c>
      <c r="G90" t="s">
        <v>421</v>
      </c>
      <c r="H90" t="s">
        <v>624</v>
      </c>
      <c r="I90" t="s">
        <v>48</v>
      </c>
      <c r="J90" t="s">
        <v>37</v>
      </c>
      <c r="K90">
        <v>3</v>
      </c>
      <c r="L90" t="s">
        <v>458</v>
      </c>
      <c r="M90" t="s">
        <v>825</v>
      </c>
      <c r="N90" t="s">
        <v>556</v>
      </c>
      <c r="O90" t="s">
        <v>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3ECA-1529-49D5-A085-542543AB35F7}">
  <sheetPr codeName="Sheet8"/>
  <dimension ref="A1:S24"/>
  <sheetViews>
    <sheetView topLeftCell="B1" workbookViewId="0">
      <selection activeCell="F1" sqref="F1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20" bestFit="1" customWidth="1"/>
    <col min="4" max="4" width="10.7109375" bestFit="1" customWidth="1"/>
    <col min="5" max="5" width="23" bestFit="1" customWidth="1"/>
    <col min="6" max="6" width="40.28515625" bestFit="1" customWidth="1"/>
    <col min="7" max="7" width="21" bestFit="1" customWidth="1"/>
    <col min="8" max="8" width="73.5703125" bestFit="1" customWidth="1"/>
    <col min="9" max="9" width="18.85546875" bestFit="1" customWidth="1"/>
    <col min="10" max="10" width="10.57031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21.140625" bestFit="1" customWidth="1"/>
    <col min="16" max="16" width="37.140625" bestFit="1" customWidth="1"/>
  </cols>
  <sheetData>
    <row r="1" spans="1:19" x14ac:dyDescent="0.25">
      <c r="A1" t="s">
        <v>13</v>
      </c>
      <c r="B1" t="s">
        <v>10</v>
      </c>
      <c r="C1" t="s">
        <v>14</v>
      </c>
      <c r="D1" t="s">
        <v>39</v>
      </c>
      <c r="E1" t="s">
        <v>40</v>
      </c>
      <c r="F1" t="s">
        <v>8</v>
      </c>
      <c r="G1" t="s">
        <v>54</v>
      </c>
      <c r="H1" t="s">
        <v>12</v>
      </c>
      <c r="I1" t="s">
        <v>9</v>
      </c>
      <c r="J1" t="s">
        <v>41</v>
      </c>
      <c r="K1" t="s">
        <v>43</v>
      </c>
      <c r="L1" t="s">
        <v>11</v>
      </c>
      <c r="M1" t="s">
        <v>44</v>
      </c>
      <c r="N1" t="s">
        <v>45</v>
      </c>
      <c r="O1" t="s">
        <v>55</v>
      </c>
      <c r="P1" t="s">
        <v>15</v>
      </c>
      <c r="R1" t="s">
        <v>62</v>
      </c>
      <c r="S1">
        <f>COUNTA(P:P)</f>
        <v>24</v>
      </c>
    </row>
    <row r="2" spans="1:19" x14ac:dyDescent="0.25">
      <c r="A2" t="s">
        <v>46</v>
      </c>
      <c r="B2" t="s">
        <v>543</v>
      </c>
      <c r="C2" t="s">
        <v>2</v>
      </c>
      <c r="D2" t="s">
        <v>49</v>
      </c>
      <c r="F2" t="s">
        <v>433</v>
      </c>
      <c r="G2" t="s">
        <v>826</v>
      </c>
      <c r="H2" t="s">
        <v>544</v>
      </c>
      <c r="I2" t="s">
        <v>59</v>
      </c>
      <c r="J2" t="s">
        <v>48</v>
      </c>
      <c r="K2">
        <v>264</v>
      </c>
      <c r="L2" t="s">
        <v>432</v>
      </c>
      <c r="M2" t="s">
        <v>545</v>
      </c>
      <c r="N2" t="s">
        <v>546</v>
      </c>
      <c r="O2" t="s">
        <v>60</v>
      </c>
      <c r="P2" t="s">
        <v>37</v>
      </c>
      <c r="R2" t="s">
        <v>63</v>
      </c>
      <c r="S2" s="13">
        <f>AVERAGE(K:K)</f>
        <v>123.65217391304348</v>
      </c>
    </row>
    <row r="3" spans="1:19" x14ac:dyDescent="0.25">
      <c r="A3" t="s">
        <v>46</v>
      </c>
      <c r="B3" t="s">
        <v>547</v>
      </c>
      <c r="C3" t="s">
        <v>4</v>
      </c>
      <c r="D3" t="s">
        <v>49</v>
      </c>
      <c r="E3">
        <v>295</v>
      </c>
      <c r="F3" t="s">
        <v>94</v>
      </c>
      <c r="G3" t="s">
        <v>827</v>
      </c>
      <c r="H3" t="s">
        <v>548</v>
      </c>
      <c r="I3" t="s">
        <v>59</v>
      </c>
      <c r="J3" t="s">
        <v>48</v>
      </c>
      <c r="K3">
        <v>242</v>
      </c>
      <c r="L3" t="s">
        <v>503</v>
      </c>
      <c r="M3" t="s">
        <v>549</v>
      </c>
      <c r="N3" t="s">
        <v>550</v>
      </c>
      <c r="O3" t="s">
        <v>60</v>
      </c>
      <c r="P3" t="s">
        <v>37</v>
      </c>
    </row>
    <row r="4" spans="1:19" x14ac:dyDescent="0.25">
      <c r="A4" t="s">
        <v>46</v>
      </c>
      <c r="B4" t="s">
        <v>551</v>
      </c>
      <c r="C4" t="s">
        <v>5</v>
      </c>
      <c r="D4" t="s">
        <v>49</v>
      </c>
      <c r="E4">
        <v>161</v>
      </c>
      <c r="F4" t="s">
        <v>26</v>
      </c>
      <c r="G4" t="s">
        <v>156</v>
      </c>
      <c r="H4" t="s">
        <v>552</v>
      </c>
      <c r="I4" t="s">
        <v>59</v>
      </c>
      <c r="J4" t="s">
        <v>48</v>
      </c>
      <c r="K4">
        <v>228</v>
      </c>
      <c r="L4" t="s">
        <v>397</v>
      </c>
      <c r="M4" t="s">
        <v>553</v>
      </c>
      <c r="N4" t="s">
        <v>554</v>
      </c>
      <c r="O4" t="s">
        <v>37</v>
      </c>
      <c r="P4" t="s">
        <v>37</v>
      </c>
    </row>
    <row r="5" spans="1:19" x14ac:dyDescent="0.25">
      <c r="A5" t="s">
        <v>46</v>
      </c>
      <c r="B5" t="s">
        <v>189</v>
      </c>
      <c r="C5" t="s">
        <v>29</v>
      </c>
      <c r="D5" t="s">
        <v>47</v>
      </c>
      <c r="E5">
        <v>676</v>
      </c>
      <c r="F5" t="s">
        <v>112</v>
      </c>
      <c r="G5" t="s">
        <v>116</v>
      </c>
      <c r="H5" t="s">
        <v>190</v>
      </c>
      <c r="I5" t="s">
        <v>56</v>
      </c>
      <c r="J5" t="s">
        <v>48</v>
      </c>
      <c r="K5">
        <v>182</v>
      </c>
      <c r="L5" t="s">
        <v>183</v>
      </c>
      <c r="M5" t="s">
        <v>191</v>
      </c>
      <c r="N5" t="s">
        <v>192</v>
      </c>
      <c r="O5" t="s">
        <v>57</v>
      </c>
      <c r="P5" t="s">
        <v>555</v>
      </c>
    </row>
    <row r="6" spans="1:19" x14ac:dyDescent="0.25">
      <c r="A6" t="s">
        <v>46</v>
      </c>
      <c r="B6" t="s">
        <v>193</v>
      </c>
      <c r="C6" t="s">
        <v>29</v>
      </c>
      <c r="D6" t="s">
        <v>47</v>
      </c>
      <c r="E6">
        <v>396</v>
      </c>
      <c r="F6" t="s">
        <v>99</v>
      </c>
      <c r="G6" t="s">
        <v>194</v>
      </c>
      <c r="H6" t="s">
        <v>195</v>
      </c>
      <c r="I6" t="s">
        <v>56</v>
      </c>
      <c r="J6" t="s">
        <v>48</v>
      </c>
      <c r="K6">
        <v>158</v>
      </c>
      <c r="L6" t="s">
        <v>180</v>
      </c>
      <c r="M6" t="s">
        <v>196</v>
      </c>
      <c r="N6" t="s">
        <v>556</v>
      </c>
      <c r="O6" t="s">
        <v>60</v>
      </c>
      <c r="P6" t="s">
        <v>557</v>
      </c>
    </row>
    <row r="7" spans="1:19" x14ac:dyDescent="0.25">
      <c r="A7" t="s">
        <v>46</v>
      </c>
      <c r="B7" t="s">
        <v>558</v>
      </c>
      <c r="C7" t="s">
        <v>2</v>
      </c>
      <c r="D7" t="s">
        <v>49</v>
      </c>
      <c r="E7">
        <v>350</v>
      </c>
      <c r="F7" t="s">
        <v>24</v>
      </c>
      <c r="G7" t="s">
        <v>139</v>
      </c>
      <c r="H7" t="s">
        <v>559</v>
      </c>
      <c r="I7" t="s">
        <v>59</v>
      </c>
      <c r="J7" t="s">
        <v>48</v>
      </c>
      <c r="K7">
        <v>142</v>
      </c>
      <c r="L7" t="s">
        <v>429</v>
      </c>
      <c r="M7" t="s">
        <v>560</v>
      </c>
      <c r="N7" t="s">
        <v>561</v>
      </c>
      <c r="O7" t="s">
        <v>37</v>
      </c>
      <c r="P7" t="s">
        <v>37</v>
      </c>
    </row>
    <row r="8" spans="1:19" x14ac:dyDescent="0.25">
      <c r="A8" t="s">
        <v>46</v>
      </c>
      <c r="B8" t="s">
        <v>562</v>
      </c>
      <c r="C8" t="s">
        <v>4</v>
      </c>
      <c r="D8" t="s">
        <v>47</v>
      </c>
      <c r="E8">
        <v>333</v>
      </c>
      <c r="F8" t="s">
        <v>388</v>
      </c>
      <c r="G8" t="s">
        <v>828</v>
      </c>
      <c r="H8" t="s">
        <v>563</v>
      </c>
      <c r="I8" t="s">
        <v>56</v>
      </c>
      <c r="J8" t="s">
        <v>48</v>
      </c>
      <c r="K8">
        <v>134</v>
      </c>
      <c r="L8" t="s">
        <v>508</v>
      </c>
      <c r="M8" t="s">
        <v>564</v>
      </c>
      <c r="N8" t="s">
        <v>565</v>
      </c>
      <c r="O8" t="s">
        <v>57</v>
      </c>
      <c r="P8" t="s">
        <v>51</v>
      </c>
    </row>
    <row r="9" spans="1:19" x14ac:dyDescent="0.25">
      <c r="A9" t="s">
        <v>46</v>
      </c>
      <c r="B9" t="s">
        <v>566</v>
      </c>
      <c r="C9" t="s">
        <v>4</v>
      </c>
      <c r="D9" t="s">
        <v>47</v>
      </c>
      <c r="E9">
        <v>500</v>
      </c>
      <c r="F9" t="s">
        <v>149</v>
      </c>
      <c r="G9" t="s">
        <v>148</v>
      </c>
      <c r="H9" t="s">
        <v>567</v>
      </c>
      <c r="I9" t="s">
        <v>56</v>
      </c>
      <c r="J9" t="s">
        <v>48</v>
      </c>
      <c r="K9">
        <v>127</v>
      </c>
      <c r="L9" t="s">
        <v>496</v>
      </c>
      <c r="M9" t="s">
        <v>568</v>
      </c>
      <c r="N9" t="s">
        <v>569</v>
      </c>
      <c r="O9" t="s">
        <v>57</v>
      </c>
      <c r="P9" t="s">
        <v>50</v>
      </c>
    </row>
    <row r="10" spans="1:19" x14ac:dyDescent="0.25">
      <c r="A10" t="s">
        <v>46</v>
      </c>
      <c r="B10" t="s">
        <v>570</v>
      </c>
      <c r="C10" t="s">
        <v>2</v>
      </c>
      <c r="D10" t="s">
        <v>49</v>
      </c>
      <c r="E10">
        <v>33</v>
      </c>
      <c r="F10" t="s">
        <v>111</v>
      </c>
      <c r="G10" t="s">
        <v>119</v>
      </c>
      <c r="H10" t="s">
        <v>571</v>
      </c>
      <c r="I10" t="s">
        <v>59</v>
      </c>
      <c r="J10" t="s">
        <v>48</v>
      </c>
      <c r="K10">
        <v>117</v>
      </c>
      <c r="L10" t="s">
        <v>443</v>
      </c>
      <c r="M10" t="s">
        <v>572</v>
      </c>
      <c r="N10" t="s">
        <v>573</v>
      </c>
      <c r="O10" t="s">
        <v>37</v>
      </c>
      <c r="P10" t="s">
        <v>37</v>
      </c>
    </row>
    <row r="11" spans="1:19" x14ac:dyDescent="0.25">
      <c r="A11" t="s">
        <v>46</v>
      </c>
      <c r="B11" t="s">
        <v>574</v>
      </c>
      <c r="C11" t="s">
        <v>5</v>
      </c>
      <c r="D11" t="s">
        <v>49</v>
      </c>
      <c r="E11">
        <v>243</v>
      </c>
      <c r="F11" t="s">
        <v>174</v>
      </c>
      <c r="G11" t="s">
        <v>37</v>
      </c>
      <c r="H11" t="s">
        <v>575</v>
      </c>
      <c r="I11" t="s">
        <v>59</v>
      </c>
      <c r="J11" t="s">
        <v>48</v>
      </c>
      <c r="K11">
        <v>114</v>
      </c>
      <c r="L11" t="s">
        <v>418</v>
      </c>
      <c r="M11" t="s">
        <v>576</v>
      </c>
      <c r="N11" t="s">
        <v>577</v>
      </c>
      <c r="O11" t="s">
        <v>37</v>
      </c>
      <c r="P11" t="s">
        <v>37</v>
      </c>
    </row>
    <row r="12" spans="1:19" x14ac:dyDescent="0.25">
      <c r="A12" t="s">
        <v>46</v>
      </c>
      <c r="B12" t="s">
        <v>198</v>
      </c>
      <c r="C12" t="s">
        <v>5</v>
      </c>
      <c r="D12" t="s">
        <v>47</v>
      </c>
      <c r="E12">
        <v>500</v>
      </c>
      <c r="F12" t="s">
        <v>149</v>
      </c>
      <c r="G12" t="s">
        <v>199</v>
      </c>
      <c r="H12" t="s">
        <v>200</v>
      </c>
      <c r="I12" t="s">
        <v>56</v>
      </c>
      <c r="J12" t="s">
        <v>48</v>
      </c>
      <c r="K12">
        <v>112</v>
      </c>
      <c r="L12" t="s">
        <v>164</v>
      </c>
      <c r="M12" t="s">
        <v>201</v>
      </c>
      <c r="N12" t="s">
        <v>202</v>
      </c>
      <c r="O12" t="s">
        <v>61</v>
      </c>
      <c r="P12" t="s">
        <v>137</v>
      </c>
    </row>
    <row r="13" spans="1:19" x14ac:dyDescent="0.25">
      <c r="A13" t="s">
        <v>46</v>
      </c>
      <c r="B13" t="s">
        <v>203</v>
      </c>
      <c r="C13" t="s">
        <v>5</v>
      </c>
      <c r="D13" t="s">
        <v>47</v>
      </c>
      <c r="E13">
        <v>132</v>
      </c>
      <c r="F13" t="s">
        <v>101</v>
      </c>
      <c r="G13" t="s">
        <v>204</v>
      </c>
      <c r="H13" t="s">
        <v>205</v>
      </c>
      <c r="I13" t="s">
        <v>56</v>
      </c>
      <c r="J13" t="s">
        <v>48</v>
      </c>
      <c r="K13">
        <v>111</v>
      </c>
      <c r="L13" t="s">
        <v>165</v>
      </c>
      <c r="M13" t="s">
        <v>206</v>
      </c>
      <c r="N13" t="s">
        <v>207</v>
      </c>
      <c r="O13" t="s">
        <v>57</v>
      </c>
      <c r="P13" t="s">
        <v>51</v>
      </c>
    </row>
    <row r="14" spans="1:19" x14ac:dyDescent="0.25">
      <c r="A14" t="s">
        <v>46</v>
      </c>
      <c r="B14" t="s">
        <v>578</v>
      </c>
      <c r="C14" t="s">
        <v>3</v>
      </c>
      <c r="D14" t="s">
        <v>47</v>
      </c>
      <c r="E14">
        <v>132</v>
      </c>
      <c r="F14" t="s">
        <v>101</v>
      </c>
      <c r="G14" t="s">
        <v>829</v>
      </c>
      <c r="H14" t="s">
        <v>579</v>
      </c>
      <c r="I14" t="s">
        <v>56</v>
      </c>
      <c r="J14" t="s">
        <v>48</v>
      </c>
      <c r="K14">
        <v>106</v>
      </c>
      <c r="L14" t="s">
        <v>477</v>
      </c>
      <c r="M14" t="s">
        <v>580</v>
      </c>
      <c r="N14" t="s">
        <v>581</v>
      </c>
      <c r="O14" t="s">
        <v>57</v>
      </c>
      <c r="P14" t="s">
        <v>51</v>
      </c>
    </row>
    <row r="15" spans="1:19" x14ac:dyDescent="0.25">
      <c r="A15" t="s">
        <v>46</v>
      </c>
      <c r="B15" t="s">
        <v>582</v>
      </c>
      <c r="C15" t="s">
        <v>4</v>
      </c>
      <c r="D15" t="s">
        <v>49</v>
      </c>
      <c r="E15">
        <v>289</v>
      </c>
      <c r="F15" t="s">
        <v>95</v>
      </c>
      <c r="G15" t="s">
        <v>830</v>
      </c>
      <c r="H15" t="s">
        <v>583</v>
      </c>
      <c r="I15" t="s">
        <v>59</v>
      </c>
      <c r="J15" t="s">
        <v>48</v>
      </c>
      <c r="K15">
        <v>100</v>
      </c>
      <c r="L15" t="s">
        <v>504</v>
      </c>
      <c r="M15" t="s">
        <v>584</v>
      </c>
      <c r="N15" t="s">
        <v>585</v>
      </c>
      <c r="O15" t="s">
        <v>37</v>
      </c>
      <c r="P15" t="s">
        <v>37</v>
      </c>
    </row>
    <row r="16" spans="1:19" x14ac:dyDescent="0.25">
      <c r="A16" t="s">
        <v>46</v>
      </c>
      <c r="B16" t="s">
        <v>586</v>
      </c>
      <c r="C16" t="s">
        <v>3</v>
      </c>
      <c r="D16" t="s">
        <v>49</v>
      </c>
      <c r="E16">
        <v>220</v>
      </c>
      <c r="F16" t="s">
        <v>475</v>
      </c>
      <c r="G16" t="s">
        <v>831</v>
      </c>
      <c r="H16" t="s">
        <v>587</v>
      </c>
      <c r="I16" t="s">
        <v>59</v>
      </c>
      <c r="J16" t="s">
        <v>48</v>
      </c>
      <c r="K16">
        <v>97</v>
      </c>
      <c r="L16" t="s">
        <v>474</v>
      </c>
      <c r="M16" t="s">
        <v>588</v>
      </c>
      <c r="N16" t="s">
        <v>588</v>
      </c>
      <c r="O16" t="s">
        <v>37</v>
      </c>
      <c r="P16" t="s">
        <v>37</v>
      </c>
    </row>
    <row r="17" spans="1:16" x14ac:dyDescent="0.25">
      <c r="A17" t="s">
        <v>46</v>
      </c>
      <c r="B17" t="s">
        <v>589</v>
      </c>
      <c r="C17" t="s">
        <v>3</v>
      </c>
      <c r="D17" t="s">
        <v>49</v>
      </c>
      <c r="E17">
        <v>33</v>
      </c>
      <c r="F17" t="s">
        <v>111</v>
      </c>
      <c r="G17" t="s">
        <v>832</v>
      </c>
      <c r="H17" t="s">
        <v>590</v>
      </c>
      <c r="I17" t="s">
        <v>59</v>
      </c>
      <c r="J17" t="s">
        <v>48</v>
      </c>
      <c r="K17">
        <v>96</v>
      </c>
      <c r="L17" t="s">
        <v>491</v>
      </c>
      <c r="M17" t="s">
        <v>591</v>
      </c>
      <c r="N17" t="s">
        <v>591</v>
      </c>
      <c r="O17" t="s">
        <v>37</v>
      </c>
      <c r="P17" t="s">
        <v>37</v>
      </c>
    </row>
    <row r="18" spans="1:16" x14ac:dyDescent="0.25">
      <c r="A18" t="s">
        <v>46</v>
      </c>
      <c r="B18" t="s">
        <v>208</v>
      </c>
      <c r="C18" t="s">
        <v>3</v>
      </c>
      <c r="D18" t="s">
        <v>47</v>
      </c>
      <c r="E18">
        <v>33</v>
      </c>
      <c r="F18" t="s">
        <v>111</v>
      </c>
      <c r="G18" t="s">
        <v>209</v>
      </c>
      <c r="H18" t="s">
        <v>210</v>
      </c>
      <c r="I18" t="s">
        <v>56</v>
      </c>
      <c r="J18" t="s">
        <v>48</v>
      </c>
      <c r="K18">
        <v>87</v>
      </c>
      <c r="L18" t="s">
        <v>185</v>
      </c>
      <c r="M18" t="s">
        <v>177</v>
      </c>
      <c r="N18" t="s">
        <v>197</v>
      </c>
      <c r="O18" t="s">
        <v>52</v>
      </c>
      <c r="P18" t="s">
        <v>37</v>
      </c>
    </row>
    <row r="19" spans="1:16" x14ac:dyDescent="0.25">
      <c r="A19" t="s">
        <v>46</v>
      </c>
      <c r="B19" t="s">
        <v>592</v>
      </c>
      <c r="C19" t="s">
        <v>5</v>
      </c>
      <c r="D19" t="s">
        <v>49</v>
      </c>
      <c r="E19">
        <v>100</v>
      </c>
      <c r="F19" t="s">
        <v>128</v>
      </c>
      <c r="G19" t="s">
        <v>37</v>
      </c>
      <c r="H19" t="s">
        <v>593</v>
      </c>
      <c r="I19" t="s">
        <v>59</v>
      </c>
      <c r="J19" t="s">
        <v>48</v>
      </c>
      <c r="K19">
        <v>84</v>
      </c>
      <c r="L19" t="s">
        <v>396</v>
      </c>
      <c r="M19" t="s">
        <v>594</v>
      </c>
      <c r="N19" t="s">
        <v>595</v>
      </c>
      <c r="O19" t="s">
        <v>57</v>
      </c>
      <c r="P19" t="s">
        <v>37</v>
      </c>
    </row>
    <row r="20" spans="1:16" x14ac:dyDescent="0.25">
      <c r="A20" t="s">
        <v>46</v>
      </c>
      <c r="B20" t="s">
        <v>596</v>
      </c>
      <c r="C20" t="s">
        <v>6</v>
      </c>
      <c r="D20" t="s">
        <v>49</v>
      </c>
      <c r="E20">
        <v>71</v>
      </c>
      <c r="F20" t="s">
        <v>123</v>
      </c>
      <c r="G20" t="s">
        <v>833</v>
      </c>
      <c r="H20" t="s">
        <v>597</v>
      </c>
      <c r="I20" t="s">
        <v>59</v>
      </c>
      <c r="J20" t="s">
        <v>48</v>
      </c>
      <c r="K20">
        <v>75</v>
      </c>
      <c r="L20" t="s">
        <v>463</v>
      </c>
      <c r="M20" t="s">
        <v>598</v>
      </c>
      <c r="N20" t="s">
        <v>599</v>
      </c>
      <c r="O20" t="s">
        <v>37</v>
      </c>
      <c r="P20" t="s">
        <v>37</v>
      </c>
    </row>
    <row r="21" spans="1:16" x14ac:dyDescent="0.25">
      <c r="A21" t="s">
        <v>46</v>
      </c>
      <c r="B21" t="s">
        <v>600</v>
      </c>
      <c r="C21" t="s">
        <v>2</v>
      </c>
      <c r="D21" t="s">
        <v>47</v>
      </c>
      <c r="E21">
        <v>340</v>
      </c>
      <c r="F21" t="s">
        <v>431</v>
      </c>
      <c r="G21" t="s">
        <v>834</v>
      </c>
      <c r="H21" t="s">
        <v>601</v>
      </c>
      <c r="I21" t="s">
        <v>56</v>
      </c>
      <c r="J21" t="s">
        <v>48</v>
      </c>
      <c r="K21">
        <v>74</v>
      </c>
      <c r="L21" t="s">
        <v>430</v>
      </c>
      <c r="M21" t="s">
        <v>602</v>
      </c>
      <c r="N21" t="s">
        <v>603</v>
      </c>
      <c r="O21" t="s">
        <v>57</v>
      </c>
      <c r="P21" t="s">
        <v>51</v>
      </c>
    </row>
    <row r="22" spans="1:16" x14ac:dyDescent="0.25">
      <c r="A22" t="s">
        <v>46</v>
      </c>
      <c r="B22" t="s">
        <v>604</v>
      </c>
      <c r="C22" t="s">
        <v>2</v>
      </c>
      <c r="D22" t="s">
        <v>49</v>
      </c>
      <c r="E22">
        <v>106</v>
      </c>
      <c r="F22" t="s">
        <v>126</v>
      </c>
      <c r="G22" t="s">
        <v>37</v>
      </c>
      <c r="H22" t="s">
        <v>605</v>
      </c>
      <c r="I22" t="s">
        <v>187</v>
      </c>
      <c r="J22" t="s">
        <v>48</v>
      </c>
      <c r="K22">
        <v>68</v>
      </c>
      <c r="L22" t="s">
        <v>435</v>
      </c>
      <c r="M22" t="s">
        <v>606</v>
      </c>
      <c r="N22" t="s">
        <v>607</v>
      </c>
      <c r="O22" t="s">
        <v>835</v>
      </c>
      <c r="P22" t="s">
        <v>608</v>
      </c>
    </row>
    <row r="23" spans="1:16" x14ac:dyDescent="0.25">
      <c r="A23" t="s">
        <v>46</v>
      </c>
      <c r="B23" t="s">
        <v>609</v>
      </c>
      <c r="C23" t="s">
        <v>4</v>
      </c>
      <c r="D23" t="s">
        <v>47</v>
      </c>
      <c r="E23">
        <v>174</v>
      </c>
      <c r="F23" t="s">
        <v>107</v>
      </c>
      <c r="G23" t="s">
        <v>37</v>
      </c>
      <c r="H23" t="s">
        <v>610</v>
      </c>
      <c r="I23" t="s">
        <v>56</v>
      </c>
      <c r="J23" t="s">
        <v>48</v>
      </c>
      <c r="K23">
        <v>64</v>
      </c>
      <c r="L23" t="s">
        <v>509</v>
      </c>
      <c r="M23" t="s">
        <v>611</v>
      </c>
      <c r="N23" t="s">
        <v>612</v>
      </c>
      <c r="O23" t="s">
        <v>57</v>
      </c>
      <c r="P23" t="s">
        <v>51</v>
      </c>
    </row>
    <row r="24" spans="1:16" x14ac:dyDescent="0.25">
      <c r="A24" t="s">
        <v>46</v>
      </c>
      <c r="B24" t="s">
        <v>613</v>
      </c>
      <c r="C24" t="s">
        <v>5</v>
      </c>
      <c r="D24" t="s">
        <v>49</v>
      </c>
      <c r="E24">
        <v>100</v>
      </c>
      <c r="F24" t="s">
        <v>128</v>
      </c>
      <c r="G24" t="s">
        <v>836</v>
      </c>
      <c r="H24" t="s">
        <v>614</v>
      </c>
      <c r="I24" t="s">
        <v>59</v>
      </c>
      <c r="J24" t="s">
        <v>48</v>
      </c>
      <c r="K24">
        <v>62</v>
      </c>
      <c r="L24" t="s">
        <v>385</v>
      </c>
      <c r="M24" t="s">
        <v>615</v>
      </c>
      <c r="N24" t="s">
        <v>616</v>
      </c>
      <c r="O24" t="s">
        <v>103</v>
      </c>
      <c r="P24" t="s">
        <v>37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B89D-BBB3-42B4-A22D-CA105E79EDD6}">
  <sheetPr codeName="Sheet9"/>
  <dimension ref="A1:N160"/>
  <sheetViews>
    <sheetView workbookViewId="0">
      <selection activeCell="K1" sqref="K1"/>
    </sheetView>
  </sheetViews>
  <sheetFormatPr defaultRowHeight="15" x14ac:dyDescent="0.25"/>
  <cols>
    <col min="1" max="1" width="24.5703125" bestFit="1" customWidth="1"/>
    <col min="2" max="2" width="12.85546875" bestFit="1" customWidth="1"/>
    <col min="3" max="3" width="12.5703125" bestFit="1" customWidth="1"/>
    <col min="4" max="4" width="25.7109375" bestFit="1" customWidth="1"/>
    <col min="5" max="5" width="24.28515625" bestFit="1" customWidth="1"/>
    <col min="6" max="6" width="26.7109375" bestFit="1" customWidth="1"/>
    <col min="7" max="7" width="28.140625" bestFit="1" customWidth="1"/>
    <col min="8" max="8" width="22.5703125" bestFit="1" customWidth="1"/>
    <col min="9" max="9" width="15.85546875" bestFit="1" customWidth="1"/>
    <col min="10" max="10" width="14.42578125" bestFit="1" customWidth="1"/>
    <col min="11" max="11" width="20.42578125" bestFit="1" customWidth="1"/>
  </cols>
  <sheetData>
    <row r="1" spans="1:14" x14ac:dyDescent="0.25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M1" t="s">
        <v>84</v>
      </c>
      <c r="N1">
        <f>SUM(H:H)</f>
        <v>187.24999999999997</v>
      </c>
    </row>
    <row r="2" spans="1:14" x14ac:dyDescent="0.25">
      <c r="A2" s="17" t="s">
        <v>2</v>
      </c>
      <c r="B2" s="17" t="s">
        <v>75</v>
      </c>
      <c r="C2">
        <v>0.57999999999999996</v>
      </c>
      <c r="D2" s="17" t="s">
        <v>23</v>
      </c>
      <c r="E2" s="17" t="s">
        <v>56</v>
      </c>
      <c r="F2" s="17" t="s">
        <v>57</v>
      </c>
      <c r="G2" s="17" t="s">
        <v>79</v>
      </c>
      <c r="H2">
        <v>0.57999999999999996</v>
      </c>
      <c r="I2" s="17" t="s">
        <v>48</v>
      </c>
      <c r="J2" s="17" t="s">
        <v>37</v>
      </c>
      <c r="K2" s="4">
        <v>44984</v>
      </c>
    </row>
    <row r="3" spans="1:14" x14ac:dyDescent="0.25">
      <c r="A3" s="17" t="s">
        <v>2</v>
      </c>
      <c r="B3" s="17" t="s">
        <v>75</v>
      </c>
      <c r="C3">
        <v>0.5</v>
      </c>
      <c r="D3" s="17" t="s">
        <v>23</v>
      </c>
      <c r="E3" s="17" t="s">
        <v>56</v>
      </c>
      <c r="F3" s="17" t="s">
        <v>57</v>
      </c>
      <c r="G3" s="17" t="s">
        <v>79</v>
      </c>
      <c r="H3">
        <v>0.5</v>
      </c>
      <c r="I3" s="17" t="s">
        <v>48</v>
      </c>
      <c r="J3" s="17" t="s">
        <v>37</v>
      </c>
      <c r="K3" s="4">
        <v>44980</v>
      </c>
      <c r="M3" t="s">
        <v>84</v>
      </c>
      <c r="N3">
        <f>SUM(C:C)</f>
        <v>89.59</v>
      </c>
    </row>
    <row r="4" spans="1:14" x14ac:dyDescent="0.25">
      <c r="A4" s="17" t="s">
        <v>2</v>
      </c>
      <c r="B4" s="17" t="s">
        <v>75</v>
      </c>
      <c r="C4">
        <v>0.33</v>
      </c>
      <c r="D4" s="17" t="s">
        <v>23</v>
      </c>
      <c r="E4" s="17" t="s">
        <v>56</v>
      </c>
      <c r="F4" s="17" t="s">
        <v>60</v>
      </c>
      <c r="G4" s="17" t="s">
        <v>79</v>
      </c>
      <c r="H4">
        <v>0.33</v>
      </c>
      <c r="I4" s="17" t="s">
        <v>48</v>
      </c>
      <c r="J4" s="17" t="s">
        <v>37</v>
      </c>
      <c r="K4" s="4">
        <v>44981</v>
      </c>
    </row>
    <row r="5" spans="1:14" x14ac:dyDescent="0.25">
      <c r="A5" s="17" t="s">
        <v>2</v>
      </c>
      <c r="B5" s="17" t="s">
        <v>75</v>
      </c>
      <c r="C5">
        <v>0.23</v>
      </c>
      <c r="D5" s="17" t="s">
        <v>23</v>
      </c>
      <c r="E5" s="17" t="s">
        <v>56</v>
      </c>
      <c r="F5" s="17" t="s">
        <v>80</v>
      </c>
      <c r="G5" s="17" t="s">
        <v>79</v>
      </c>
      <c r="H5">
        <v>0.23</v>
      </c>
      <c r="I5" s="17" t="s">
        <v>48</v>
      </c>
      <c r="J5" s="17" t="s">
        <v>37</v>
      </c>
      <c r="K5" s="4">
        <v>44984</v>
      </c>
    </row>
    <row r="6" spans="1:14" x14ac:dyDescent="0.25">
      <c r="A6" s="17" t="s">
        <v>2</v>
      </c>
      <c r="B6" s="17" t="s">
        <v>75</v>
      </c>
      <c r="C6">
        <v>0.33</v>
      </c>
      <c r="D6" s="17" t="s">
        <v>23</v>
      </c>
      <c r="E6" s="17" t="s">
        <v>56</v>
      </c>
      <c r="F6" s="17" t="s">
        <v>60</v>
      </c>
      <c r="G6" s="17" t="s">
        <v>79</v>
      </c>
      <c r="H6">
        <v>0.33</v>
      </c>
      <c r="I6" s="17" t="s">
        <v>48</v>
      </c>
      <c r="J6" s="17" t="s">
        <v>37</v>
      </c>
      <c r="K6" s="4">
        <v>44980</v>
      </c>
    </row>
    <row r="7" spans="1:14" x14ac:dyDescent="0.25">
      <c r="A7" s="17" t="s">
        <v>2</v>
      </c>
      <c r="B7" s="17" t="s">
        <v>75</v>
      </c>
      <c r="C7">
        <v>0.33</v>
      </c>
      <c r="D7" s="17" t="s">
        <v>23</v>
      </c>
      <c r="E7" s="17" t="s">
        <v>56</v>
      </c>
      <c r="F7" s="17" t="s">
        <v>57</v>
      </c>
      <c r="G7" s="17" t="s">
        <v>79</v>
      </c>
      <c r="H7">
        <v>0.33</v>
      </c>
      <c r="I7" s="17" t="s">
        <v>48</v>
      </c>
      <c r="J7" s="17" t="s">
        <v>37</v>
      </c>
      <c r="K7" s="4">
        <v>44973</v>
      </c>
    </row>
    <row r="8" spans="1:14" x14ac:dyDescent="0.25">
      <c r="A8" s="17" t="s">
        <v>2</v>
      </c>
      <c r="B8" s="17" t="s">
        <v>75</v>
      </c>
      <c r="C8">
        <v>0.33</v>
      </c>
      <c r="D8" s="17" t="s">
        <v>23</v>
      </c>
      <c r="E8" s="17" t="s">
        <v>56</v>
      </c>
      <c r="F8" s="17" t="s">
        <v>57</v>
      </c>
      <c r="G8" s="17" t="s">
        <v>79</v>
      </c>
      <c r="H8">
        <v>0.33</v>
      </c>
      <c r="I8" s="17" t="s">
        <v>48</v>
      </c>
      <c r="J8" s="17" t="s">
        <v>37</v>
      </c>
      <c r="K8" s="4">
        <v>44979</v>
      </c>
    </row>
    <row r="9" spans="1:14" x14ac:dyDescent="0.25">
      <c r="A9" s="17" t="s">
        <v>2</v>
      </c>
      <c r="B9" s="17" t="s">
        <v>75</v>
      </c>
      <c r="C9">
        <v>0.57999999999999996</v>
      </c>
      <c r="D9" s="17" t="s">
        <v>23</v>
      </c>
      <c r="E9" s="17" t="s">
        <v>56</v>
      </c>
      <c r="F9" s="17" t="s">
        <v>60</v>
      </c>
      <c r="G9" s="17" t="s">
        <v>79</v>
      </c>
      <c r="H9">
        <v>0.57999999999999996</v>
      </c>
      <c r="I9" s="17" t="s">
        <v>48</v>
      </c>
      <c r="J9" s="17" t="s">
        <v>37</v>
      </c>
      <c r="K9" s="4">
        <v>44978</v>
      </c>
    </row>
    <row r="10" spans="1:14" x14ac:dyDescent="0.25">
      <c r="A10" s="17" t="s">
        <v>2</v>
      </c>
      <c r="B10" s="17" t="s">
        <v>75</v>
      </c>
      <c r="C10">
        <v>0.33</v>
      </c>
      <c r="D10" s="17" t="s">
        <v>23</v>
      </c>
      <c r="E10" s="17" t="s">
        <v>56</v>
      </c>
      <c r="F10" s="17" t="s">
        <v>60</v>
      </c>
      <c r="G10" s="17" t="s">
        <v>79</v>
      </c>
      <c r="H10">
        <v>0.33</v>
      </c>
      <c r="I10" s="17" t="s">
        <v>48</v>
      </c>
      <c r="J10" s="17" t="s">
        <v>37</v>
      </c>
      <c r="K10" s="4">
        <v>44974</v>
      </c>
    </row>
    <row r="11" spans="1:14" x14ac:dyDescent="0.25">
      <c r="A11" s="17" t="s">
        <v>2</v>
      </c>
      <c r="B11" s="17" t="s">
        <v>75</v>
      </c>
      <c r="C11">
        <v>0.33</v>
      </c>
      <c r="D11" s="17" t="s">
        <v>23</v>
      </c>
      <c r="E11" s="17" t="s">
        <v>56</v>
      </c>
      <c r="F11" s="17" t="s">
        <v>60</v>
      </c>
      <c r="G11" s="17" t="s">
        <v>79</v>
      </c>
      <c r="H11">
        <v>0.33</v>
      </c>
      <c r="I11" s="17" t="s">
        <v>48</v>
      </c>
      <c r="J11" s="17" t="s">
        <v>37</v>
      </c>
      <c r="K11" s="4">
        <v>44974</v>
      </c>
    </row>
    <row r="12" spans="1:14" x14ac:dyDescent="0.25">
      <c r="A12" s="17" t="s">
        <v>2</v>
      </c>
      <c r="B12" s="17" t="s">
        <v>75</v>
      </c>
      <c r="C12">
        <v>0.47</v>
      </c>
      <c r="D12" s="17" t="s">
        <v>23</v>
      </c>
      <c r="E12" s="17" t="s">
        <v>56</v>
      </c>
      <c r="F12" s="17" t="s">
        <v>60</v>
      </c>
      <c r="G12" s="17" t="s">
        <v>79</v>
      </c>
      <c r="H12">
        <v>0.47</v>
      </c>
      <c r="I12" s="17" t="s">
        <v>48</v>
      </c>
      <c r="J12" s="17" t="s">
        <v>37</v>
      </c>
      <c r="K12" s="4">
        <v>44971</v>
      </c>
    </row>
    <row r="13" spans="1:14" x14ac:dyDescent="0.25">
      <c r="A13" s="17" t="s">
        <v>2</v>
      </c>
      <c r="B13" s="17" t="s">
        <v>75</v>
      </c>
      <c r="C13">
        <v>0.33</v>
      </c>
      <c r="D13" s="17" t="s">
        <v>23</v>
      </c>
      <c r="E13" s="17" t="s">
        <v>56</v>
      </c>
      <c r="F13" s="17" t="s">
        <v>60</v>
      </c>
      <c r="G13" s="17" t="s">
        <v>79</v>
      </c>
      <c r="H13">
        <v>0.33</v>
      </c>
      <c r="I13" s="17" t="s">
        <v>48</v>
      </c>
      <c r="J13" s="17" t="s">
        <v>37</v>
      </c>
      <c r="K13" s="4">
        <v>44971</v>
      </c>
    </row>
    <row r="14" spans="1:14" x14ac:dyDescent="0.25">
      <c r="A14" s="17" t="s">
        <v>2</v>
      </c>
      <c r="B14" s="17" t="s">
        <v>75</v>
      </c>
      <c r="C14">
        <v>0.75</v>
      </c>
      <c r="D14" s="17" t="s">
        <v>23</v>
      </c>
      <c r="E14" s="17" t="s">
        <v>56</v>
      </c>
      <c r="F14" s="17" t="s">
        <v>57</v>
      </c>
      <c r="G14" s="17" t="s">
        <v>79</v>
      </c>
      <c r="H14">
        <v>0.75</v>
      </c>
      <c r="I14" s="17" t="s">
        <v>48</v>
      </c>
      <c r="J14" s="17" t="s">
        <v>37</v>
      </c>
      <c r="K14" s="4">
        <v>44971</v>
      </c>
    </row>
    <row r="15" spans="1:14" x14ac:dyDescent="0.25">
      <c r="A15" s="17" t="s">
        <v>2</v>
      </c>
      <c r="B15" s="17" t="s">
        <v>75</v>
      </c>
      <c r="C15">
        <v>0.17</v>
      </c>
      <c r="D15" s="17" t="s">
        <v>23</v>
      </c>
      <c r="E15" s="17" t="s">
        <v>56</v>
      </c>
      <c r="F15" s="17" t="s">
        <v>57</v>
      </c>
      <c r="G15" s="17" t="s">
        <v>79</v>
      </c>
      <c r="H15">
        <v>0.17</v>
      </c>
      <c r="I15" s="17" t="s">
        <v>48</v>
      </c>
      <c r="J15" s="17" t="s">
        <v>37</v>
      </c>
      <c r="K15" s="4">
        <v>44978</v>
      </c>
    </row>
    <row r="16" spans="1:14" x14ac:dyDescent="0.25">
      <c r="A16" s="17" t="s">
        <v>2</v>
      </c>
      <c r="B16" s="17" t="s">
        <v>75</v>
      </c>
      <c r="C16">
        <v>0.33</v>
      </c>
      <c r="D16" s="17" t="s">
        <v>23</v>
      </c>
      <c r="E16" s="17" t="s">
        <v>56</v>
      </c>
      <c r="F16" s="17" t="s">
        <v>57</v>
      </c>
      <c r="G16" s="17" t="s">
        <v>79</v>
      </c>
      <c r="H16">
        <v>0.33</v>
      </c>
      <c r="I16" s="17" t="s">
        <v>48</v>
      </c>
      <c r="J16" s="17" t="s">
        <v>37</v>
      </c>
      <c r="K16" s="4">
        <v>44978</v>
      </c>
    </row>
    <row r="17" spans="1:11" x14ac:dyDescent="0.25">
      <c r="A17" s="17" t="s">
        <v>2</v>
      </c>
      <c r="B17" s="17" t="s">
        <v>75</v>
      </c>
      <c r="C17">
        <v>1.17</v>
      </c>
      <c r="D17" s="17" t="s">
        <v>23</v>
      </c>
      <c r="E17" s="17" t="s">
        <v>56</v>
      </c>
      <c r="F17" s="17" t="s">
        <v>60</v>
      </c>
      <c r="G17" s="17" t="s">
        <v>79</v>
      </c>
      <c r="H17">
        <v>1.17</v>
      </c>
      <c r="I17" s="17" t="s">
        <v>48</v>
      </c>
      <c r="J17" s="17" t="s">
        <v>37</v>
      </c>
      <c r="K17" s="4">
        <v>44981</v>
      </c>
    </row>
    <row r="18" spans="1:11" x14ac:dyDescent="0.25">
      <c r="A18" s="17" t="s">
        <v>2</v>
      </c>
      <c r="B18" s="17" t="s">
        <v>75</v>
      </c>
      <c r="C18">
        <v>0.25</v>
      </c>
      <c r="D18" s="17" t="s">
        <v>23</v>
      </c>
      <c r="E18" s="17" t="s">
        <v>56</v>
      </c>
      <c r="F18" s="17" t="s">
        <v>60</v>
      </c>
      <c r="G18" s="17" t="s">
        <v>79</v>
      </c>
      <c r="H18">
        <v>0.25</v>
      </c>
      <c r="I18" s="17" t="s">
        <v>48</v>
      </c>
      <c r="J18" s="17" t="s">
        <v>37</v>
      </c>
      <c r="K18" s="4">
        <v>44978</v>
      </c>
    </row>
    <row r="19" spans="1:11" x14ac:dyDescent="0.25">
      <c r="A19" s="17" t="s">
        <v>2</v>
      </c>
      <c r="B19" s="17" t="s">
        <v>75</v>
      </c>
      <c r="C19">
        <v>0.17</v>
      </c>
      <c r="D19" s="17" t="s">
        <v>23</v>
      </c>
      <c r="E19" s="17" t="s">
        <v>56</v>
      </c>
      <c r="F19" s="17" t="s">
        <v>57</v>
      </c>
      <c r="G19" s="17" t="s">
        <v>79</v>
      </c>
      <c r="H19">
        <v>0.17</v>
      </c>
      <c r="I19" s="17" t="s">
        <v>48</v>
      </c>
      <c r="J19" s="17" t="s">
        <v>37</v>
      </c>
      <c r="K19" s="4">
        <v>44981</v>
      </c>
    </row>
    <row r="20" spans="1:11" x14ac:dyDescent="0.25">
      <c r="A20" s="17" t="s">
        <v>2</v>
      </c>
      <c r="B20" s="17" t="s">
        <v>75</v>
      </c>
      <c r="C20">
        <v>0.33</v>
      </c>
      <c r="D20" s="17" t="s">
        <v>23</v>
      </c>
      <c r="E20" s="17" t="s">
        <v>56</v>
      </c>
      <c r="F20" s="17" t="s">
        <v>57</v>
      </c>
      <c r="G20" s="17" t="s">
        <v>79</v>
      </c>
      <c r="H20">
        <v>0.33</v>
      </c>
      <c r="I20" s="17" t="s">
        <v>48</v>
      </c>
      <c r="J20" s="17" t="s">
        <v>37</v>
      </c>
      <c r="K20" s="4">
        <v>44978</v>
      </c>
    </row>
    <row r="21" spans="1:11" x14ac:dyDescent="0.25">
      <c r="A21" s="17" t="s">
        <v>2</v>
      </c>
      <c r="B21" s="17" t="s">
        <v>75</v>
      </c>
      <c r="C21">
        <v>0.17</v>
      </c>
      <c r="D21" s="17" t="s">
        <v>23</v>
      </c>
      <c r="E21" s="17" t="s">
        <v>56</v>
      </c>
      <c r="F21" s="17" t="s">
        <v>57</v>
      </c>
      <c r="G21" s="17" t="s">
        <v>79</v>
      </c>
      <c r="H21">
        <v>0.17</v>
      </c>
      <c r="I21" s="17" t="s">
        <v>48</v>
      </c>
      <c r="J21" s="17" t="s">
        <v>37</v>
      </c>
      <c r="K21" s="4">
        <v>44973</v>
      </c>
    </row>
    <row r="22" spans="1:11" x14ac:dyDescent="0.25">
      <c r="A22" s="17" t="s">
        <v>2</v>
      </c>
      <c r="B22" s="17" t="s">
        <v>75</v>
      </c>
      <c r="C22">
        <v>0.33</v>
      </c>
      <c r="D22" s="17" t="s">
        <v>23</v>
      </c>
      <c r="E22" s="17" t="s">
        <v>56</v>
      </c>
      <c r="F22" s="17" t="s">
        <v>60</v>
      </c>
      <c r="G22" s="17" t="s">
        <v>79</v>
      </c>
      <c r="H22">
        <v>0.33</v>
      </c>
      <c r="I22" s="17" t="s">
        <v>48</v>
      </c>
      <c r="J22" s="17" t="s">
        <v>37</v>
      </c>
      <c r="K22" s="4">
        <v>44980</v>
      </c>
    </row>
    <row r="23" spans="1:11" x14ac:dyDescent="0.25">
      <c r="A23" s="17" t="s">
        <v>2</v>
      </c>
      <c r="B23" s="17" t="s">
        <v>75</v>
      </c>
      <c r="C23">
        <v>0.47</v>
      </c>
      <c r="D23" s="17" t="s">
        <v>23</v>
      </c>
      <c r="E23" s="17" t="s">
        <v>56</v>
      </c>
      <c r="F23" s="17" t="s">
        <v>57</v>
      </c>
      <c r="G23" s="17" t="s">
        <v>79</v>
      </c>
      <c r="H23">
        <v>0.47</v>
      </c>
      <c r="I23" s="17" t="s">
        <v>48</v>
      </c>
      <c r="J23" s="17" t="s">
        <v>37</v>
      </c>
      <c r="K23" s="4">
        <v>44973</v>
      </c>
    </row>
    <row r="24" spans="1:11" x14ac:dyDescent="0.25">
      <c r="A24" s="17" t="s">
        <v>2</v>
      </c>
      <c r="B24" s="17" t="s">
        <v>75</v>
      </c>
      <c r="C24">
        <v>0.25</v>
      </c>
      <c r="D24" s="17" t="s">
        <v>23</v>
      </c>
      <c r="E24" s="17" t="s">
        <v>56</v>
      </c>
      <c r="F24" s="17" t="s">
        <v>57</v>
      </c>
      <c r="G24" s="17" t="s">
        <v>79</v>
      </c>
      <c r="H24">
        <v>0.25</v>
      </c>
      <c r="I24" s="17" t="s">
        <v>48</v>
      </c>
      <c r="J24" s="17" t="s">
        <v>37</v>
      </c>
      <c r="K24" s="4">
        <v>44985</v>
      </c>
    </row>
    <row r="25" spans="1:11" x14ac:dyDescent="0.25">
      <c r="A25" s="17" t="s">
        <v>2</v>
      </c>
      <c r="B25" s="17" t="s">
        <v>75</v>
      </c>
      <c r="C25">
        <v>0.5</v>
      </c>
      <c r="D25" s="17" t="s">
        <v>23</v>
      </c>
      <c r="E25" s="17" t="s">
        <v>56</v>
      </c>
      <c r="F25" s="17" t="s">
        <v>57</v>
      </c>
      <c r="G25" s="17" t="s">
        <v>79</v>
      </c>
      <c r="H25">
        <v>0.67</v>
      </c>
      <c r="I25" s="17" t="s">
        <v>48</v>
      </c>
      <c r="J25" s="17" t="s">
        <v>37</v>
      </c>
      <c r="K25" s="4">
        <v>44931</v>
      </c>
    </row>
    <row r="26" spans="1:11" x14ac:dyDescent="0.25">
      <c r="A26" s="17" t="s">
        <v>2</v>
      </c>
      <c r="B26" s="17" t="s">
        <v>75</v>
      </c>
      <c r="C26">
        <v>0.17</v>
      </c>
      <c r="D26" s="17" t="s">
        <v>23</v>
      </c>
      <c r="E26" s="17" t="s">
        <v>56</v>
      </c>
      <c r="F26" s="17" t="s">
        <v>57</v>
      </c>
      <c r="G26" s="17" t="s">
        <v>79</v>
      </c>
      <c r="H26">
        <v>0.17</v>
      </c>
      <c r="I26" s="17" t="s">
        <v>48</v>
      </c>
      <c r="J26" s="17" t="s">
        <v>37</v>
      </c>
      <c r="K26" s="4">
        <v>44985</v>
      </c>
    </row>
    <row r="27" spans="1:11" x14ac:dyDescent="0.25">
      <c r="A27" s="17" t="s">
        <v>2</v>
      </c>
      <c r="B27" s="17" t="s">
        <v>75</v>
      </c>
      <c r="C27">
        <v>0.57999999999999996</v>
      </c>
      <c r="D27" s="17" t="s">
        <v>23</v>
      </c>
      <c r="E27" s="17" t="s">
        <v>56</v>
      </c>
      <c r="F27" s="17" t="s">
        <v>57</v>
      </c>
      <c r="G27" s="17" t="s">
        <v>79</v>
      </c>
      <c r="H27">
        <v>0.57999999999999996</v>
      </c>
      <c r="I27" s="17" t="s">
        <v>48</v>
      </c>
      <c r="J27" s="17" t="s">
        <v>37</v>
      </c>
      <c r="K27" s="4">
        <v>44985</v>
      </c>
    </row>
    <row r="28" spans="1:11" x14ac:dyDescent="0.25">
      <c r="A28" s="17" t="s">
        <v>2</v>
      </c>
      <c r="B28" s="17" t="s">
        <v>75</v>
      </c>
      <c r="C28">
        <v>0.42</v>
      </c>
      <c r="D28" s="17" t="s">
        <v>23</v>
      </c>
      <c r="E28" s="17" t="s">
        <v>56</v>
      </c>
      <c r="F28" s="17" t="s">
        <v>60</v>
      </c>
      <c r="G28" s="17" t="s">
        <v>79</v>
      </c>
      <c r="H28">
        <v>0.42</v>
      </c>
      <c r="I28" s="17" t="s">
        <v>48</v>
      </c>
      <c r="J28" s="17" t="s">
        <v>37</v>
      </c>
      <c r="K28" s="4">
        <v>44985</v>
      </c>
    </row>
    <row r="29" spans="1:11" x14ac:dyDescent="0.25">
      <c r="A29" s="17" t="s">
        <v>2</v>
      </c>
      <c r="B29" s="17" t="s">
        <v>75</v>
      </c>
      <c r="C29">
        <v>0.33</v>
      </c>
      <c r="D29" s="17" t="s">
        <v>23</v>
      </c>
      <c r="E29" s="17" t="s">
        <v>56</v>
      </c>
      <c r="F29" s="17" t="s">
        <v>57</v>
      </c>
      <c r="G29" s="17" t="s">
        <v>79</v>
      </c>
      <c r="H29">
        <v>0.33</v>
      </c>
      <c r="I29" s="17" t="s">
        <v>48</v>
      </c>
      <c r="J29" s="17" t="s">
        <v>37</v>
      </c>
      <c r="K29" s="4">
        <v>44985</v>
      </c>
    </row>
    <row r="30" spans="1:11" x14ac:dyDescent="0.25">
      <c r="A30" s="17" t="s">
        <v>2</v>
      </c>
      <c r="B30" s="17" t="s">
        <v>75</v>
      </c>
      <c r="C30">
        <v>1.5</v>
      </c>
      <c r="D30" s="17" t="s">
        <v>23</v>
      </c>
      <c r="E30" s="17" t="s">
        <v>187</v>
      </c>
      <c r="F30" s="17" t="s">
        <v>60</v>
      </c>
      <c r="G30" s="17" t="s">
        <v>82</v>
      </c>
      <c r="H30">
        <v>1.5</v>
      </c>
      <c r="I30" s="17" t="s">
        <v>81</v>
      </c>
      <c r="J30" s="17" t="s">
        <v>48</v>
      </c>
      <c r="K30" s="4">
        <v>44930</v>
      </c>
    </row>
    <row r="31" spans="1:11" x14ac:dyDescent="0.25">
      <c r="A31" s="17" t="s">
        <v>2</v>
      </c>
      <c r="B31" s="17" t="s">
        <v>75</v>
      </c>
      <c r="C31">
        <v>0.5</v>
      </c>
      <c r="D31" s="17" t="s">
        <v>23</v>
      </c>
      <c r="E31" s="17" t="s">
        <v>58</v>
      </c>
      <c r="F31" s="17" t="s">
        <v>60</v>
      </c>
      <c r="G31" s="17" t="s">
        <v>82</v>
      </c>
      <c r="H31">
        <v>1</v>
      </c>
      <c r="I31" s="17" t="s">
        <v>81</v>
      </c>
      <c r="J31" s="17" t="s">
        <v>48</v>
      </c>
      <c r="K31" s="4">
        <v>44987</v>
      </c>
    </row>
    <row r="32" spans="1:11" x14ac:dyDescent="0.25">
      <c r="A32" s="17" t="s">
        <v>2</v>
      </c>
      <c r="B32" s="17" t="s">
        <v>75</v>
      </c>
      <c r="C32">
        <v>0.5</v>
      </c>
      <c r="D32" s="17" t="s">
        <v>23</v>
      </c>
      <c r="E32" s="17" t="s">
        <v>56</v>
      </c>
      <c r="F32" s="17" t="s">
        <v>57</v>
      </c>
      <c r="G32" s="17" t="s">
        <v>76</v>
      </c>
      <c r="H32">
        <v>0.5</v>
      </c>
      <c r="I32" s="17" t="s">
        <v>48</v>
      </c>
      <c r="J32" s="17" t="s">
        <v>48</v>
      </c>
      <c r="K32" s="4">
        <v>44978</v>
      </c>
    </row>
    <row r="33" spans="1:11" x14ac:dyDescent="0.25">
      <c r="A33" s="17" t="s">
        <v>2</v>
      </c>
      <c r="B33" s="17" t="s">
        <v>75</v>
      </c>
      <c r="C33">
        <v>0.5</v>
      </c>
      <c r="D33" s="17" t="s">
        <v>23</v>
      </c>
      <c r="E33" s="17" t="s">
        <v>58</v>
      </c>
      <c r="F33" s="17" t="s">
        <v>57</v>
      </c>
      <c r="G33" s="17" t="s">
        <v>76</v>
      </c>
      <c r="H33">
        <v>1</v>
      </c>
      <c r="I33" s="17" t="s">
        <v>48</v>
      </c>
      <c r="J33" s="17" t="s">
        <v>48</v>
      </c>
      <c r="K33" s="4">
        <v>44986</v>
      </c>
    </row>
    <row r="34" spans="1:11" x14ac:dyDescent="0.25">
      <c r="A34" s="17" t="s">
        <v>2</v>
      </c>
      <c r="B34" s="17" t="s">
        <v>75</v>
      </c>
      <c r="C34">
        <v>0.42</v>
      </c>
      <c r="D34" s="17" t="s">
        <v>23</v>
      </c>
      <c r="E34" s="17" t="s">
        <v>56</v>
      </c>
      <c r="F34" s="17" t="s">
        <v>57</v>
      </c>
      <c r="G34" s="17" t="s">
        <v>77</v>
      </c>
      <c r="H34">
        <v>0.42</v>
      </c>
      <c r="I34" s="17" t="s">
        <v>48</v>
      </c>
      <c r="J34" s="17" t="s">
        <v>78</v>
      </c>
      <c r="K34" s="4">
        <v>44984</v>
      </c>
    </row>
    <row r="35" spans="1:11" x14ac:dyDescent="0.25">
      <c r="A35" s="17" t="s">
        <v>2</v>
      </c>
      <c r="B35" s="17" t="s">
        <v>75</v>
      </c>
      <c r="C35">
        <v>0.33</v>
      </c>
      <c r="D35" s="17" t="s">
        <v>23</v>
      </c>
      <c r="E35" s="17" t="s">
        <v>56</v>
      </c>
      <c r="F35" s="17" t="s">
        <v>188</v>
      </c>
      <c r="G35" s="17" t="s">
        <v>77</v>
      </c>
      <c r="H35">
        <v>0.66</v>
      </c>
      <c r="I35" s="17" t="s">
        <v>48</v>
      </c>
      <c r="J35" s="17" t="s">
        <v>78</v>
      </c>
      <c r="K35" s="4">
        <v>44980</v>
      </c>
    </row>
    <row r="36" spans="1:11" x14ac:dyDescent="0.25">
      <c r="A36" s="17" t="s">
        <v>2</v>
      </c>
      <c r="B36" s="17" t="s">
        <v>75</v>
      </c>
      <c r="C36">
        <v>0.42</v>
      </c>
      <c r="D36" s="17" t="s">
        <v>23</v>
      </c>
      <c r="E36" s="17" t="s">
        <v>56</v>
      </c>
      <c r="F36" s="17" t="s">
        <v>57</v>
      </c>
      <c r="G36" s="17" t="s">
        <v>77</v>
      </c>
      <c r="H36">
        <v>0.42</v>
      </c>
      <c r="I36" s="17" t="s">
        <v>48</v>
      </c>
      <c r="J36" s="17" t="s">
        <v>78</v>
      </c>
      <c r="K36" s="4">
        <v>44984</v>
      </c>
    </row>
    <row r="37" spans="1:11" x14ac:dyDescent="0.25">
      <c r="A37" s="17" t="s">
        <v>2</v>
      </c>
      <c r="B37" s="17" t="s">
        <v>75</v>
      </c>
      <c r="C37">
        <v>0.5</v>
      </c>
      <c r="D37" s="17" t="s">
        <v>23</v>
      </c>
      <c r="E37" s="17" t="s">
        <v>56</v>
      </c>
      <c r="F37" s="17" t="s">
        <v>61</v>
      </c>
      <c r="G37" s="17" t="s">
        <v>77</v>
      </c>
      <c r="H37">
        <v>0.5</v>
      </c>
      <c r="I37" s="17" t="s">
        <v>48</v>
      </c>
      <c r="J37" s="17" t="s">
        <v>78</v>
      </c>
      <c r="K37" s="4">
        <v>44973</v>
      </c>
    </row>
    <row r="38" spans="1:11" x14ac:dyDescent="0.25">
      <c r="A38" s="17" t="s">
        <v>2</v>
      </c>
      <c r="B38" s="17" t="s">
        <v>75</v>
      </c>
      <c r="C38">
        <v>0.42</v>
      </c>
      <c r="D38" s="17" t="s">
        <v>23</v>
      </c>
      <c r="E38" s="17" t="s">
        <v>56</v>
      </c>
      <c r="F38" s="17" t="s">
        <v>57</v>
      </c>
      <c r="G38" s="17" t="s">
        <v>77</v>
      </c>
      <c r="H38">
        <v>0.42</v>
      </c>
      <c r="I38" s="17" t="s">
        <v>48</v>
      </c>
      <c r="J38" s="17" t="s">
        <v>78</v>
      </c>
      <c r="K38" s="4">
        <v>44984</v>
      </c>
    </row>
    <row r="39" spans="1:11" x14ac:dyDescent="0.25">
      <c r="A39" s="17" t="s">
        <v>2</v>
      </c>
      <c r="B39" s="17" t="s">
        <v>75</v>
      </c>
      <c r="C39">
        <v>0.33</v>
      </c>
      <c r="D39" s="17" t="s">
        <v>23</v>
      </c>
      <c r="E39" s="17" t="s">
        <v>56</v>
      </c>
      <c r="F39" s="17" t="s">
        <v>57</v>
      </c>
      <c r="G39" s="17" t="s">
        <v>77</v>
      </c>
      <c r="H39">
        <v>0.33</v>
      </c>
      <c r="I39" s="17" t="s">
        <v>48</v>
      </c>
      <c r="J39" s="17" t="s">
        <v>78</v>
      </c>
      <c r="K39" s="4">
        <v>44978</v>
      </c>
    </row>
    <row r="40" spans="1:11" x14ac:dyDescent="0.25">
      <c r="A40" s="17" t="s">
        <v>2</v>
      </c>
      <c r="B40" s="17" t="s">
        <v>75</v>
      </c>
      <c r="C40">
        <v>0.17</v>
      </c>
      <c r="D40" s="17" t="s">
        <v>23</v>
      </c>
      <c r="E40" s="17" t="s">
        <v>56</v>
      </c>
      <c r="F40" s="17" t="s">
        <v>188</v>
      </c>
      <c r="G40" s="17" t="s">
        <v>77</v>
      </c>
      <c r="H40">
        <v>0.17</v>
      </c>
      <c r="I40" s="17" t="s">
        <v>48</v>
      </c>
      <c r="J40" s="17" t="s">
        <v>78</v>
      </c>
      <c r="K40" s="4">
        <v>44979</v>
      </c>
    </row>
    <row r="41" spans="1:11" x14ac:dyDescent="0.25">
      <c r="A41" s="17" t="s">
        <v>2</v>
      </c>
      <c r="B41" s="17" t="s">
        <v>75</v>
      </c>
      <c r="C41">
        <v>0.42</v>
      </c>
      <c r="D41" s="17" t="s">
        <v>23</v>
      </c>
      <c r="E41" s="17" t="s">
        <v>56</v>
      </c>
      <c r="F41" s="17" t="s">
        <v>57</v>
      </c>
      <c r="G41" s="17" t="s">
        <v>77</v>
      </c>
      <c r="H41">
        <v>0.42</v>
      </c>
      <c r="I41" s="17" t="s">
        <v>48</v>
      </c>
      <c r="J41" s="17" t="s">
        <v>78</v>
      </c>
      <c r="K41" s="4">
        <v>44974</v>
      </c>
    </row>
    <row r="42" spans="1:11" x14ac:dyDescent="0.25">
      <c r="A42" s="17" t="s">
        <v>2</v>
      </c>
      <c r="B42" s="17" t="s">
        <v>75</v>
      </c>
      <c r="C42">
        <v>0.33</v>
      </c>
      <c r="D42" s="17" t="s">
        <v>23</v>
      </c>
      <c r="E42" s="17" t="s">
        <v>56</v>
      </c>
      <c r="F42" s="17" t="s">
        <v>60</v>
      </c>
      <c r="G42" s="17" t="s">
        <v>77</v>
      </c>
      <c r="H42">
        <v>0.33</v>
      </c>
      <c r="I42" s="17" t="s">
        <v>48</v>
      </c>
      <c r="J42" s="17" t="s">
        <v>78</v>
      </c>
      <c r="K42" s="4">
        <v>44979</v>
      </c>
    </row>
    <row r="43" spans="1:11" x14ac:dyDescent="0.25">
      <c r="A43" s="17" t="s">
        <v>2</v>
      </c>
      <c r="B43" s="17" t="s">
        <v>75</v>
      </c>
      <c r="C43">
        <v>0.33</v>
      </c>
      <c r="D43" s="17" t="s">
        <v>23</v>
      </c>
      <c r="E43" s="17" t="s">
        <v>56</v>
      </c>
      <c r="F43" s="17" t="s">
        <v>57</v>
      </c>
      <c r="G43" s="17" t="s">
        <v>77</v>
      </c>
      <c r="H43">
        <v>1.33</v>
      </c>
      <c r="I43" s="17" t="s">
        <v>48</v>
      </c>
      <c r="J43" s="17" t="s">
        <v>78</v>
      </c>
      <c r="K43" s="4">
        <v>44979</v>
      </c>
    </row>
    <row r="44" spans="1:11" x14ac:dyDescent="0.25">
      <c r="A44" s="17" t="s">
        <v>2</v>
      </c>
      <c r="B44" s="17" t="s">
        <v>75</v>
      </c>
      <c r="C44">
        <v>0.33</v>
      </c>
      <c r="D44" s="17" t="s">
        <v>23</v>
      </c>
      <c r="E44" s="17" t="s">
        <v>56</v>
      </c>
      <c r="F44" s="17" t="s">
        <v>60</v>
      </c>
      <c r="G44" s="17" t="s">
        <v>77</v>
      </c>
      <c r="H44">
        <v>0.33</v>
      </c>
      <c r="I44" s="17" t="s">
        <v>48</v>
      </c>
      <c r="J44" s="17" t="s">
        <v>78</v>
      </c>
      <c r="K44" s="4">
        <v>44986</v>
      </c>
    </row>
    <row r="45" spans="1:11" x14ac:dyDescent="0.25">
      <c r="A45" s="17" t="s">
        <v>2</v>
      </c>
      <c r="B45" s="17" t="s">
        <v>50</v>
      </c>
      <c r="C45">
        <v>7</v>
      </c>
      <c r="D45" s="17" t="s">
        <v>23</v>
      </c>
      <c r="E45" s="17" t="s">
        <v>837</v>
      </c>
      <c r="F45" s="17" t="s">
        <v>37</v>
      </c>
      <c r="G45" s="17" t="s">
        <v>77</v>
      </c>
      <c r="H45">
        <v>7</v>
      </c>
      <c r="I45" s="17" t="s">
        <v>48</v>
      </c>
      <c r="J45" s="17" t="s">
        <v>78</v>
      </c>
      <c r="K45" s="4">
        <v>44985</v>
      </c>
    </row>
    <row r="46" spans="1:11" x14ac:dyDescent="0.25">
      <c r="A46" s="17" t="s">
        <v>29</v>
      </c>
      <c r="B46" s="17" t="s">
        <v>140</v>
      </c>
      <c r="C46">
        <v>0.5</v>
      </c>
      <c r="D46" s="17" t="s">
        <v>23</v>
      </c>
      <c r="E46" s="17" t="s">
        <v>59</v>
      </c>
      <c r="F46" s="17" t="s">
        <v>83</v>
      </c>
      <c r="G46" s="17" t="s">
        <v>79</v>
      </c>
      <c r="H46">
        <v>5.5</v>
      </c>
      <c r="I46" s="17" t="s">
        <v>48</v>
      </c>
      <c r="J46" s="17" t="s">
        <v>37</v>
      </c>
      <c r="K46" s="4">
        <v>44946</v>
      </c>
    </row>
    <row r="47" spans="1:11" x14ac:dyDescent="0.25">
      <c r="A47" s="17" t="s">
        <v>29</v>
      </c>
      <c r="B47" s="17" t="s">
        <v>140</v>
      </c>
      <c r="C47">
        <v>0.25</v>
      </c>
      <c r="D47" s="17" t="s">
        <v>23</v>
      </c>
      <c r="E47" s="17" t="s">
        <v>56</v>
      </c>
      <c r="F47" s="17" t="s">
        <v>60</v>
      </c>
      <c r="G47" s="17" t="s">
        <v>79</v>
      </c>
      <c r="H47">
        <v>0.75</v>
      </c>
      <c r="I47" s="17" t="s">
        <v>48</v>
      </c>
      <c r="J47" s="17" t="s">
        <v>37</v>
      </c>
      <c r="K47" s="4">
        <v>44981</v>
      </c>
    </row>
    <row r="48" spans="1:11" x14ac:dyDescent="0.25">
      <c r="A48" s="17" t="s">
        <v>29</v>
      </c>
      <c r="B48" s="17" t="s">
        <v>140</v>
      </c>
      <c r="C48">
        <v>0.33</v>
      </c>
      <c r="D48" s="17" t="s">
        <v>23</v>
      </c>
      <c r="E48" s="17" t="s">
        <v>56</v>
      </c>
      <c r="F48" s="17" t="s">
        <v>60</v>
      </c>
      <c r="G48" s="17" t="s">
        <v>79</v>
      </c>
      <c r="H48">
        <v>0.57999999999999996</v>
      </c>
      <c r="I48" s="17" t="s">
        <v>48</v>
      </c>
      <c r="J48" s="17" t="s">
        <v>37</v>
      </c>
      <c r="K48" s="4">
        <v>44971</v>
      </c>
    </row>
    <row r="49" spans="1:11" x14ac:dyDescent="0.25">
      <c r="A49" s="17" t="s">
        <v>29</v>
      </c>
      <c r="B49" s="17" t="s">
        <v>75</v>
      </c>
      <c r="C49">
        <v>0.67</v>
      </c>
      <c r="D49" s="17" t="s">
        <v>23</v>
      </c>
      <c r="E49" s="17" t="s">
        <v>56</v>
      </c>
      <c r="F49" s="17" t="s">
        <v>60</v>
      </c>
      <c r="G49" s="17" t="s">
        <v>79</v>
      </c>
      <c r="H49">
        <v>0.67</v>
      </c>
      <c r="I49" s="17" t="s">
        <v>48</v>
      </c>
      <c r="J49" s="17" t="s">
        <v>37</v>
      </c>
      <c r="K49" s="4">
        <v>44945</v>
      </c>
    </row>
    <row r="50" spans="1:11" x14ac:dyDescent="0.25">
      <c r="A50" s="17" t="s">
        <v>29</v>
      </c>
      <c r="B50" s="17" t="s">
        <v>75</v>
      </c>
      <c r="C50">
        <v>0.5</v>
      </c>
      <c r="D50" s="17" t="s">
        <v>23</v>
      </c>
      <c r="E50" s="17" t="s">
        <v>59</v>
      </c>
      <c r="F50" s="17" t="s">
        <v>83</v>
      </c>
      <c r="G50" s="17" t="s">
        <v>79</v>
      </c>
      <c r="H50">
        <v>5.5</v>
      </c>
      <c r="I50" s="17" t="s">
        <v>48</v>
      </c>
      <c r="J50" s="17" t="s">
        <v>37</v>
      </c>
      <c r="K50" s="4">
        <v>44946</v>
      </c>
    </row>
    <row r="51" spans="1:11" x14ac:dyDescent="0.25">
      <c r="A51" s="17" t="s">
        <v>29</v>
      </c>
      <c r="B51" s="17" t="s">
        <v>75</v>
      </c>
      <c r="C51">
        <v>0.67</v>
      </c>
      <c r="D51" s="17" t="s">
        <v>23</v>
      </c>
      <c r="E51" s="17" t="s">
        <v>56</v>
      </c>
      <c r="F51" s="17" t="s">
        <v>52</v>
      </c>
      <c r="G51" s="17" t="s">
        <v>79</v>
      </c>
      <c r="H51">
        <v>0.67</v>
      </c>
      <c r="I51" s="17" t="s">
        <v>48</v>
      </c>
      <c r="J51" s="17" t="s">
        <v>37</v>
      </c>
      <c r="K51" s="4">
        <v>44946</v>
      </c>
    </row>
    <row r="52" spans="1:11" x14ac:dyDescent="0.25">
      <c r="A52" s="17" t="s">
        <v>29</v>
      </c>
      <c r="B52" s="17" t="s">
        <v>75</v>
      </c>
      <c r="C52">
        <v>1</v>
      </c>
      <c r="D52" s="17" t="s">
        <v>23</v>
      </c>
      <c r="E52" s="17" t="s">
        <v>56</v>
      </c>
      <c r="F52" s="17" t="s">
        <v>57</v>
      </c>
      <c r="G52" s="17" t="s">
        <v>79</v>
      </c>
      <c r="H52">
        <v>1</v>
      </c>
      <c r="I52" s="17" t="s">
        <v>48</v>
      </c>
      <c r="J52" s="17" t="s">
        <v>37</v>
      </c>
      <c r="K52" s="4">
        <v>44949</v>
      </c>
    </row>
    <row r="53" spans="1:11" x14ac:dyDescent="0.25">
      <c r="A53" s="17" t="s">
        <v>29</v>
      </c>
      <c r="B53" s="17" t="s">
        <v>75</v>
      </c>
      <c r="C53">
        <v>0.5</v>
      </c>
      <c r="D53" s="17" t="s">
        <v>23</v>
      </c>
      <c r="E53" s="17" t="s">
        <v>56</v>
      </c>
      <c r="F53" s="17" t="s">
        <v>57</v>
      </c>
      <c r="G53" s="17" t="s">
        <v>79</v>
      </c>
      <c r="H53">
        <v>0.5</v>
      </c>
      <c r="I53" s="17" t="s">
        <v>48</v>
      </c>
      <c r="J53" s="17" t="s">
        <v>37</v>
      </c>
      <c r="K53" s="4">
        <v>44951</v>
      </c>
    </row>
    <row r="54" spans="1:11" x14ac:dyDescent="0.25">
      <c r="A54" s="17" t="s">
        <v>29</v>
      </c>
      <c r="B54" s="17" t="s">
        <v>75</v>
      </c>
      <c r="C54">
        <v>0.75</v>
      </c>
      <c r="D54" s="17" t="s">
        <v>23</v>
      </c>
      <c r="E54" s="17" t="s">
        <v>56</v>
      </c>
      <c r="F54" s="17" t="s">
        <v>60</v>
      </c>
      <c r="G54" s="17" t="s">
        <v>79</v>
      </c>
      <c r="H54">
        <v>0.75</v>
      </c>
      <c r="I54" s="17" t="s">
        <v>48</v>
      </c>
      <c r="J54" s="17" t="s">
        <v>37</v>
      </c>
      <c r="K54" s="4">
        <v>44952</v>
      </c>
    </row>
    <row r="55" spans="1:11" x14ac:dyDescent="0.25">
      <c r="A55" s="17" t="s">
        <v>29</v>
      </c>
      <c r="B55" s="17" t="s">
        <v>75</v>
      </c>
      <c r="C55">
        <v>0.17</v>
      </c>
      <c r="D55" s="17" t="s">
        <v>23</v>
      </c>
      <c r="E55" s="17" t="s">
        <v>56</v>
      </c>
      <c r="F55" s="17" t="s">
        <v>60</v>
      </c>
      <c r="G55" s="17" t="s">
        <v>79</v>
      </c>
      <c r="H55">
        <v>0.17</v>
      </c>
      <c r="I55" s="17" t="s">
        <v>48</v>
      </c>
      <c r="J55" s="17" t="s">
        <v>37</v>
      </c>
      <c r="K55" s="4">
        <v>44984</v>
      </c>
    </row>
    <row r="56" spans="1:11" x14ac:dyDescent="0.25">
      <c r="A56" s="17" t="s">
        <v>29</v>
      </c>
      <c r="B56" s="17" t="s">
        <v>75</v>
      </c>
      <c r="C56">
        <v>0.5</v>
      </c>
      <c r="D56" s="17" t="s">
        <v>23</v>
      </c>
      <c r="E56" s="17" t="s">
        <v>56</v>
      </c>
      <c r="F56" s="17" t="s">
        <v>57</v>
      </c>
      <c r="G56" s="17" t="s">
        <v>79</v>
      </c>
      <c r="H56">
        <v>0.5</v>
      </c>
      <c r="I56" s="17" t="s">
        <v>48</v>
      </c>
      <c r="J56" s="17" t="s">
        <v>37</v>
      </c>
      <c r="K56" s="4">
        <v>44984</v>
      </c>
    </row>
    <row r="57" spans="1:11" x14ac:dyDescent="0.25">
      <c r="A57" s="17" t="s">
        <v>29</v>
      </c>
      <c r="B57" s="17" t="s">
        <v>75</v>
      </c>
      <c r="C57">
        <v>0.17</v>
      </c>
      <c r="D57" s="17" t="s">
        <v>23</v>
      </c>
      <c r="E57" s="17" t="s">
        <v>56</v>
      </c>
      <c r="F57" s="17" t="s">
        <v>61</v>
      </c>
      <c r="G57" s="17" t="s">
        <v>79</v>
      </c>
      <c r="H57">
        <v>0.17</v>
      </c>
      <c r="I57" s="17" t="s">
        <v>48</v>
      </c>
      <c r="J57" s="17" t="s">
        <v>37</v>
      </c>
      <c r="K57" s="4">
        <v>44958</v>
      </c>
    </row>
    <row r="58" spans="1:11" x14ac:dyDescent="0.25">
      <c r="A58" s="17" t="s">
        <v>29</v>
      </c>
      <c r="B58" s="17" t="s">
        <v>75</v>
      </c>
      <c r="C58">
        <v>0.67</v>
      </c>
      <c r="D58" s="17" t="s">
        <v>23</v>
      </c>
      <c r="E58" s="17" t="s">
        <v>56</v>
      </c>
      <c r="F58" s="17" t="s">
        <v>57</v>
      </c>
      <c r="G58" s="17" t="s">
        <v>79</v>
      </c>
      <c r="H58">
        <v>0.67</v>
      </c>
      <c r="I58" s="17" t="s">
        <v>48</v>
      </c>
      <c r="J58" s="17" t="s">
        <v>37</v>
      </c>
      <c r="K58" s="4">
        <v>44956</v>
      </c>
    </row>
    <row r="59" spans="1:11" x14ac:dyDescent="0.25">
      <c r="A59" s="17" t="s">
        <v>29</v>
      </c>
      <c r="B59" s="17" t="s">
        <v>75</v>
      </c>
      <c r="C59">
        <v>0.08</v>
      </c>
      <c r="D59" s="17" t="s">
        <v>23</v>
      </c>
      <c r="E59" s="17" t="s">
        <v>56</v>
      </c>
      <c r="F59" s="17" t="s">
        <v>60</v>
      </c>
      <c r="G59" s="17" t="s">
        <v>79</v>
      </c>
      <c r="H59">
        <v>0.08</v>
      </c>
      <c r="I59" s="17" t="s">
        <v>48</v>
      </c>
      <c r="J59" s="17" t="s">
        <v>37</v>
      </c>
      <c r="K59" s="4">
        <v>44981</v>
      </c>
    </row>
    <row r="60" spans="1:11" x14ac:dyDescent="0.25">
      <c r="A60" s="17" t="s">
        <v>29</v>
      </c>
      <c r="B60" s="17" t="s">
        <v>75</v>
      </c>
      <c r="C60">
        <v>1.25</v>
      </c>
      <c r="D60" s="17" t="s">
        <v>23</v>
      </c>
      <c r="E60" s="17" t="s">
        <v>56</v>
      </c>
      <c r="F60" s="17" t="s">
        <v>57</v>
      </c>
      <c r="G60" s="17" t="s">
        <v>79</v>
      </c>
      <c r="H60">
        <v>1.5</v>
      </c>
      <c r="I60" s="17" t="s">
        <v>48</v>
      </c>
      <c r="J60" s="17" t="s">
        <v>37</v>
      </c>
      <c r="K60" s="4">
        <v>44981</v>
      </c>
    </row>
    <row r="61" spans="1:11" x14ac:dyDescent="0.25">
      <c r="A61" s="17" t="s">
        <v>29</v>
      </c>
      <c r="B61" s="17" t="s">
        <v>75</v>
      </c>
      <c r="C61">
        <v>0.33</v>
      </c>
      <c r="D61" s="17" t="s">
        <v>23</v>
      </c>
      <c r="E61" s="17" t="s">
        <v>56</v>
      </c>
      <c r="F61" s="17" t="s">
        <v>60</v>
      </c>
      <c r="G61" s="17" t="s">
        <v>79</v>
      </c>
      <c r="H61">
        <v>0.33</v>
      </c>
      <c r="I61" s="17" t="s">
        <v>48</v>
      </c>
      <c r="J61" s="17" t="s">
        <v>37</v>
      </c>
      <c r="K61" s="4">
        <v>44984</v>
      </c>
    </row>
    <row r="62" spans="1:11" x14ac:dyDescent="0.25">
      <c r="A62" s="17" t="s">
        <v>29</v>
      </c>
      <c r="B62" s="17" t="s">
        <v>75</v>
      </c>
      <c r="C62">
        <v>0.25</v>
      </c>
      <c r="D62" s="17" t="s">
        <v>23</v>
      </c>
      <c r="E62" s="17" t="s">
        <v>56</v>
      </c>
      <c r="F62" s="17" t="s">
        <v>60</v>
      </c>
      <c r="G62" s="17" t="s">
        <v>79</v>
      </c>
      <c r="H62">
        <v>0.75</v>
      </c>
      <c r="I62" s="17" t="s">
        <v>48</v>
      </c>
      <c r="J62" s="17" t="s">
        <v>37</v>
      </c>
      <c r="K62" s="4">
        <v>44981</v>
      </c>
    </row>
    <row r="63" spans="1:11" x14ac:dyDescent="0.25">
      <c r="A63" s="17" t="s">
        <v>29</v>
      </c>
      <c r="B63" s="17" t="s">
        <v>75</v>
      </c>
      <c r="C63">
        <v>0.25</v>
      </c>
      <c r="D63" s="17" t="s">
        <v>23</v>
      </c>
      <c r="E63" s="17" t="s">
        <v>56</v>
      </c>
      <c r="F63" s="17" t="s">
        <v>60</v>
      </c>
      <c r="G63" s="17" t="s">
        <v>79</v>
      </c>
      <c r="H63">
        <v>0.57999999999999996</v>
      </c>
      <c r="I63" s="17" t="s">
        <v>48</v>
      </c>
      <c r="J63" s="17" t="s">
        <v>37</v>
      </c>
      <c r="K63" s="4">
        <v>44971</v>
      </c>
    </row>
    <row r="64" spans="1:11" x14ac:dyDescent="0.25">
      <c r="A64" s="17" t="s">
        <v>29</v>
      </c>
      <c r="B64" s="17" t="s">
        <v>75</v>
      </c>
      <c r="C64">
        <v>0.5</v>
      </c>
      <c r="D64" s="17" t="s">
        <v>23</v>
      </c>
      <c r="E64" s="17" t="s">
        <v>56</v>
      </c>
      <c r="F64" s="17" t="s">
        <v>57</v>
      </c>
      <c r="G64" s="17" t="s">
        <v>79</v>
      </c>
      <c r="H64">
        <v>0.5</v>
      </c>
      <c r="I64" s="17" t="s">
        <v>48</v>
      </c>
      <c r="J64" s="17" t="s">
        <v>37</v>
      </c>
      <c r="K64" s="4">
        <v>44964</v>
      </c>
    </row>
    <row r="65" spans="1:11" x14ac:dyDescent="0.25">
      <c r="A65" s="17" t="s">
        <v>29</v>
      </c>
      <c r="B65" s="17" t="s">
        <v>75</v>
      </c>
      <c r="C65">
        <v>1.25</v>
      </c>
      <c r="D65" s="17" t="s">
        <v>23</v>
      </c>
      <c r="E65" s="17" t="s">
        <v>56</v>
      </c>
      <c r="F65" s="17" t="s">
        <v>57</v>
      </c>
      <c r="G65" s="17" t="s">
        <v>79</v>
      </c>
      <c r="H65">
        <v>1.25</v>
      </c>
      <c r="I65" s="17" t="s">
        <v>48</v>
      </c>
      <c r="J65" s="17" t="s">
        <v>37</v>
      </c>
      <c r="K65" s="4">
        <v>44970</v>
      </c>
    </row>
    <row r="66" spans="1:11" x14ac:dyDescent="0.25">
      <c r="A66" s="17" t="s">
        <v>29</v>
      </c>
      <c r="B66" s="17" t="s">
        <v>75</v>
      </c>
      <c r="C66">
        <v>0.75</v>
      </c>
      <c r="D66" s="17" t="s">
        <v>23</v>
      </c>
      <c r="E66" s="17" t="s">
        <v>56</v>
      </c>
      <c r="F66" s="17" t="s">
        <v>57</v>
      </c>
      <c r="G66" s="17" t="s">
        <v>79</v>
      </c>
      <c r="H66">
        <v>0.75</v>
      </c>
      <c r="I66" s="17" t="s">
        <v>48</v>
      </c>
      <c r="J66" s="17" t="s">
        <v>37</v>
      </c>
      <c r="K66" s="4">
        <v>44973</v>
      </c>
    </row>
    <row r="67" spans="1:11" x14ac:dyDescent="0.25">
      <c r="A67" s="17" t="s">
        <v>29</v>
      </c>
      <c r="B67" s="17" t="s">
        <v>75</v>
      </c>
      <c r="C67">
        <v>0.5</v>
      </c>
      <c r="D67" s="17" t="s">
        <v>23</v>
      </c>
      <c r="E67" s="17" t="s">
        <v>56</v>
      </c>
      <c r="F67" s="17" t="s">
        <v>57</v>
      </c>
      <c r="G67" s="17" t="s">
        <v>79</v>
      </c>
      <c r="H67">
        <v>0.5</v>
      </c>
      <c r="I67" s="17" t="s">
        <v>48</v>
      </c>
      <c r="J67" s="17" t="s">
        <v>37</v>
      </c>
      <c r="K67" s="4">
        <v>44984</v>
      </c>
    </row>
    <row r="68" spans="1:11" x14ac:dyDescent="0.25">
      <c r="A68" s="17" t="s">
        <v>29</v>
      </c>
      <c r="B68" s="17" t="s">
        <v>75</v>
      </c>
      <c r="C68">
        <v>0.75</v>
      </c>
      <c r="D68" s="17" t="s">
        <v>23</v>
      </c>
      <c r="E68" s="17" t="s">
        <v>56</v>
      </c>
      <c r="F68" s="17" t="s">
        <v>57</v>
      </c>
      <c r="G68" s="17" t="s">
        <v>79</v>
      </c>
      <c r="H68">
        <v>0.75</v>
      </c>
      <c r="I68" s="17" t="s">
        <v>48</v>
      </c>
      <c r="J68" s="17" t="s">
        <v>37</v>
      </c>
      <c r="K68" s="4">
        <v>44984</v>
      </c>
    </row>
    <row r="69" spans="1:11" x14ac:dyDescent="0.25">
      <c r="A69" s="17" t="s">
        <v>29</v>
      </c>
      <c r="B69" s="17" t="s">
        <v>75</v>
      </c>
      <c r="C69">
        <v>0.67</v>
      </c>
      <c r="D69" s="17" t="s">
        <v>23</v>
      </c>
      <c r="E69" s="17" t="s">
        <v>56</v>
      </c>
      <c r="F69" s="17" t="s">
        <v>57</v>
      </c>
      <c r="G69" s="17" t="s">
        <v>79</v>
      </c>
      <c r="H69">
        <v>0.67</v>
      </c>
      <c r="I69" s="17" t="s">
        <v>48</v>
      </c>
      <c r="J69" s="17" t="s">
        <v>37</v>
      </c>
      <c r="K69" s="4">
        <v>44984</v>
      </c>
    </row>
    <row r="70" spans="1:11" x14ac:dyDescent="0.25">
      <c r="A70" s="17" t="s">
        <v>29</v>
      </c>
      <c r="B70" s="17" t="s">
        <v>75</v>
      </c>
      <c r="C70">
        <v>0.67</v>
      </c>
      <c r="D70" s="17" t="s">
        <v>23</v>
      </c>
      <c r="E70" s="17" t="s">
        <v>56</v>
      </c>
      <c r="F70" s="17" t="s">
        <v>57</v>
      </c>
      <c r="G70" s="17" t="s">
        <v>79</v>
      </c>
      <c r="H70">
        <v>0.67</v>
      </c>
      <c r="I70" s="17" t="s">
        <v>48</v>
      </c>
      <c r="J70" s="17" t="s">
        <v>37</v>
      </c>
      <c r="K70" s="4">
        <v>44971</v>
      </c>
    </row>
    <row r="71" spans="1:11" x14ac:dyDescent="0.25">
      <c r="A71" s="17" t="s">
        <v>29</v>
      </c>
      <c r="B71" s="17" t="s">
        <v>75</v>
      </c>
      <c r="C71">
        <v>1</v>
      </c>
      <c r="D71" s="17" t="s">
        <v>23</v>
      </c>
      <c r="E71" s="17" t="s">
        <v>56</v>
      </c>
      <c r="F71" s="17" t="s">
        <v>60</v>
      </c>
      <c r="G71" s="17" t="s">
        <v>79</v>
      </c>
      <c r="H71">
        <v>1</v>
      </c>
      <c r="I71" s="17" t="s">
        <v>48</v>
      </c>
      <c r="J71" s="17" t="s">
        <v>37</v>
      </c>
      <c r="K71" s="4">
        <v>44911</v>
      </c>
    </row>
    <row r="72" spans="1:11" x14ac:dyDescent="0.25">
      <c r="A72" s="17" t="s">
        <v>29</v>
      </c>
      <c r="B72" s="17" t="s">
        <v>75</v>
      </c>
      <c r="C72">
        <v>0.33</v>
      </c>
      <c r="D72" s="17" t="s">
        <v>23</v>
      </c>
      <c r="E72" s="17" t="s">
        <v>56</v>
      </c>
      <c r="F72" s="17" t="s">
        <v>80</v>
      </c>
      <c r="G72" s="17" t="s">
        <v>79</v>
      </c>
      <c r="H72">
        <v>0.33</v>
      </c>
      <c r="I72" s="17" t="s">
        <v>48</v>
      </c>
      <c r="J72" s="17" t="s">
        <v>37</v>
      </c>
      <c r="K72" s="4">
        <v>44985</v>
      </c>
    </row>
    <row r="73" spans="1:11" x14ac:dyDescent="0.25">
      <c r="A73" s="17" t="s">
        <v>29</v>
      </c>
      <c r="B73" s="17" t="s">
        <v>75</v>
      </c>
      <c r="C73">
        <v>0.75</v>
      </c>
      <c r="D73" s="17" t="s">
        <v>23</v>
      </c>
      <c r="E73" s="17" t="s">
        <v>56</v>
      </c>
      <c r="F73" s="17" t="s">
        <v>60</v>
      </c>
      <c r="G73" s="17" t="s">
        <v>79</v>
      </c>
      <c r="H73">
        <v>0.75</v>
      </c>
      <c r="I73" s="17" t="s">
        <v>48</v>
      </c>
      <c r="J73" s="17" t="s">
        <v>37</v>
      </c>
      <c r="K73" s="4">
        <v>44965</v>
      </c>
    </row>
    <row r="74" spans="1:11" x14ac:dyDescent="0.25">
      <c r="A74" s="17" t="s">
        <v>29</v>
      </c>
      <c r="B74" s="17" t="s">
        <v>75</v>
      </c>
      <c r="C74">
        <v>0.5</v>
      </c>
      <c r="D74" s="17" t="s">
        <v>23</v>
      </c>
      <c r="E74" s="17" t="s">
        <v>56</v>
      </c>
      <c r="F74" s="17" t="s">
        <v>57</v>
      </c>
      <c r="G74" s="17" t="s">
        <v>79</v>
      </c>
      <c r="H74">
        <v>0.5</v>
      </c>
      <c r="I74" s="17" t="s">
        <v>48</v>
      </c>
      <c r="J74" s="17" t="s">
        <v>37</v>
      </c>
      <c r="K74" s="4">
        <v>44974</v>
      </c>
    </row>
    <row r="75" spans="1:11" x14ac:dyDescent="0.25">
      <c r="A75" s="17" t="s">
        <v>29</v>
      </c>
      <c r="B75" s="17" t="s">
        <v>75</v>
      </c>
      <c r="C75">
        <v>1.5</v>
      </c>
      <c r="D75" s="17" t="s">
        <v>23</v>
      </c>
      <c r="E75" s="17" t="s">
        <v>58</v>
      </c>
      <c r="F75" s="17" t="s">
        <v>60</v>
      </c>
      <c r="G75" s="17" t="s">
        <v>838</v>
      </c>
      <c r="H75">
        <v>5.5</v>
      </c>
      <c r="I75" s="17" t="s">
        <v>81</v>
      </c>
      <c r="J75" s="17" t="s">
        <v>81</v>
      </c>
      <c r="K75" s="4">
        <v>44971</v>
      </c>
    </row>
    <row r="76" spans="1:11" x14ac:dyDescent="0.25">
      <c r="A76" s="17" t="s">
        <v>29</v>
      </c>
      <c r="B76" s="17" t="s">
        <v>75</v>
      </c>
      <c r="C76">
        <v>0.5</v>
      </c>
      <c r="D76" s="17" t="s">
        <v>23</v>
      </c>
      <c r="E76" s="17" t="s">
        <v>56</v>
      </c>
      <c r="F76" s="17" t="s">
        <v>57</v>
      </c>
      <c r="G76" s="17" t="s">
        <v>77</v>
      </c>
      <c r="H76">
        <v>0.5</v>
      </c>
      <c r="I76" s="17" t="s">
        <v>48</v>
      </c>
      <c r="J76" s="17" t="s">
        <v>78</v>
      </c>
      <c r="K76" s="4">
        <v>44945</v>
      </c>
    </row>
    <row r="77" spans="1:11" x14ac:dyDescent="0.25">
      <c r="A77" s="17" t="s">
        <v>29</v>
      </c>
      <c r="B77" s="17" t="s">
        <v>75</v>
      </c>
      <c r="C77">
        <v>0.75</v>
      </c>
      <c r="D77" s="17" t="s">
        <v>23</v>
      </c>
      <c r="E77" s="17" t="s">
        <v>56</v>
      </c>
      <c r="F77" s="17" t="s">
        <v>57</v>
      </c>
      <c r="G77" s="17" t="s">
        <v>77</v>
      </c>
      <c r="H77">
        <v>0.75</v>
      </c>
      <c r="I77" s="17" t="s">
        <v>48</v>
      </c>
      <c r="J77" s="17" t="s">
        <v>78</v>
      </c>
      <c r="K77" s="4">
        <v>44959</v>
      </c>
    </row>
    <row r="78" spans="1:11" x14ac:dyDescent="0.25">
      <c r="A78" s="17" t="s">
        <v>29</v>
      </c>
      <c r="B78" s="17" t="s">
        <v>75</v>
      </c>
      <c r="C78">
        <v>1.17</v>
      </c>
      <c r="D78" s="17" t="s">
        <v>23</v>
      </c>
      <c r="E78" s="17" t="s">
        <v>56</v>
      </c>
      <c r="F78" s="17" t="s">
        <v>61</v>
      </c>
      <c r="G78" s="17" t="s">
        <v>77</v>
      </c>
      <c r="H78">
        <v>1.17</v>
      </c>
      <c r="I78" s="17" t="s">
        <v>48</v>
      </c>
      <c r="J78" s="17" t="s">
        <v>78</v>
      </c>
      <c r="K78" s="4">
        <v>44956</v>
      </c>
    </row>
    <row r="79" spans="1:11" x14ac:dyDescent="0.25">
      <c r="A79" s="17" t="s">
        <v>29</v>
      </c>
      <c r="B79" s="17" t="s">
        <v>75</v>
      </c>
      <c r="C79">
        <v>0.25</v>
      </c>
      <c r="D79" s="17" t="s">
        <v>23</v>
      </c>
      <c r="E79" s="17" t="s">
        <v>56</v>
      </c>
      <c r="F79" s="17" t="s">
        <v>57</v>
      </c>
      <c r="G79" s="17" t="s">
        <v>77</v>
      </c>
      <c r="H79">
        <v>0.25</v>
      </c>
      <c r="I79" s="17" t="s">
        <v>48</v>
      </c>
      <c r="J79" s="17" t="s">
        <v>78</v>
      </c>
      <c r="K79" s="4">
        <v>44960</v>
      </c>
    </row>
    <row r="80" spans="1:11" x14ac:dyDescent="0.25">
      <c r="A80" s="17" t="s">
        <v>29</v>
      </c>
      <c r="B80" s="17" t="s">
        <v>75</v>
      </c>
      <c r="C80">
        <v>0.75</v>
      </c>
      <c r="D80" s="17" t="s">
        <v>23</v>
      </c>
      <c r="E80" s="17" t="s">
        <v>56</v>
      </c>
      <c r="F80" s="17" t="s">
        <v>57</v>
      </c>
      <c r="G80" s="17" t="s">
        <v>77</v>
      </c>
      <c r="H80">
        <v>0.75</v>
      </c>
      <c r="I80" s="17" t="s">
        <v>48</v>
      </c>
      <c r="J80" s="17" t="s">
        <v>78</v>
      </c>
      <c r="K80" s="4">
        <v>44980</v>
      </c>
    </row>
    <row r="81" spans="1:11" x14ac:dyDescent="0.25">
      <c r="A81" s="17" t="s">
        <v>29</v>
      </c>
      <c r="B81" s="17" t="s">
        <v>75</v>
      </c>
      <c r="C81">
        <v>0.25</v>
      </c>
      <c r="D81" s="17" t="s">
        <v>23</v>
      </c>
      <c r="E81" s="17" t="s">
        <v>56</v>
      </c>
      <c r="F81" s="17" t="s">
        <v>57</v>
      </c>
      <c r="G81" s="17" t="s">
        <v>77</v>
      </c>
      <c r="H81">
        <v>0.25</v>
      </c>
      <c r="I81" s="17" t="s">
        <v>48</v>
      </c>
      <c r="J81" s="17" t="s">
        <v>78</v>
      </c>
      <c r="K81" s="4">
        <v>44970</v>
      </c>
    </row>
    <row r="82" spans="1:11" x14ac:dyDescent="0.25">
      <c r="A82" s="17" t="s">
        <v>29</v>
      </c>
      <c r="B82" s="17" t="s">
        <v>75</v>
      </c>
      <c r="C82">
        <v>0.17</v>
      </c>
      <c r="D82" s="17" t="s">
        <v>23</v>
      </c>
      <c r="E82" s="17" t="s">
        <v>56</v>
      </c>
      <c r="F82" s="17" t="s">
        <v>57</v>
      </c>
      <c r="G82" s="17" t="s">
        <v>77</v>
      </c>
      <c r="H82">
        <v>0.17</v>
      </c>
      <c r="I82" s="17" t="s">
        <v>48</v>
      </c>
      <c r="J82" s="17" t="s">
        <v>78</v>
      </c>
      <c r="K82" s="4">
        <v>44970</v>
      </c>
    </row>
    <row r="83" spans="1:11" x14ac:dyDescent="0.25">
      <c r="A83" s="17" t="s">
        <v>29</v>
      </c>
      <c r="B83" s="17" t="s">
        <v>75</v>
      </c>
      <c r="C83">
        <v>0.33</v>
      </c>
      <c r="D83" s="17" t="s">
        <v>23</v>
      </c>
      <c r="E83" s="17" t="s">
        <v>56</v>
      </c>
      <c r="F83" s="17" t="s">
        <v>57</v>
      </c>
      <c r="G83" s="17" t="s">
        <v>77</v>
      </c>
      <c r="H83">
        <v>0.33</v>
      </c>
      <c r="I83" s="17" t="s">
        <v>48</v>
      </c>
      <c r="J83" s="17" t="s">
        <v>78</v>
      </c>
      <c r="K83" s="4">
        <v>44972</v>
      </c>
    </row>
    <row r="84" spans="1:11" x14ac:dyDescent="0.25">
      <c r="A84" s="17" t="s">
        <v>29</v>
      </c>
      <c r="B84" s="17" t="s">
        <v>75</v>
      </c>
      <c r="C84">
        <v>0.33</v>
      </c>
      <c r="D84" s="17" t="s">
        <v>23</v>
      </c>
      <c r="E84" s="17" t="s">
        <v>56</v>
      </c>
      <c r="F84" s="17" t="s">
        <v>83</v>
      </c>
      <c r="G84" s="17" t="s">
        <v>77</v>
      </c>
      <c r="H84">
        <v>0.57999999999999996</v>
      </c>
      <c r="I84" s="17" t="s">
        <v>48</v>
      </c>
      <c r="J84" s="17" t="s">
        <v>78</v>
      </c>
      <c r="K84" s="4">
        <v>44987</v>
      </c>
    </row>
    <row r="85" spans="1:11" x14ac:dyDescent="0.25">
      <c r="A85" s="17" t="s">
        <v>121</v>
      </c>
      <c r="B85" s="17" t="s">
        <v>50</v>
      </c>
      <c r="C85">
        <v>0.08</v>
      </c>
      <c r="D85" s="17" t="s">
        <v>23</v>
      </c>
      <c r="E85" s="17" t="s">
        <v>56</v>
      </c>
      <c r="F85" s="17" t="s">
        <v>60</v>
      </c>
      <c r="G85" s="17" t="s">
        <v>79</v>
      </c>
      <c r="H85">
        <v>1.33</v>
      </c>
      <c r="I85" s="17" t="s">
        <v>48</v>
      </c>
      <c r="J85" s="17" t="s">
        <v>37</v>
      </c>
      <c r="K85" s="4">
        <v>44932</v>
      </c>
    </row>
    <row r="86" spans="1:11" x14ac:dyDescent="0.25">
      <c r="A86" s="17" t="s">
        <v>121</v>
      </c>
      <c r="B86" s="17" t="s">
        <v>50</v>
      </c>
      <c r="C86">
        <v>0.03</v>
      </c>
      <c r="D86" s="17" t="s">
        <v>23</v>
      </c>
      <c r="E86" s="17" t="s">
        <v>56</v>
      </c>
      <c r="F86" s="17" t="s">
        <v>57</v>
      </c>
      <c r="G86" s="17" t="s">
        <v>79</v>
      </c>
      <c r="H86">
        <v>0.03</v>
      </c>
      <c r="I86" s="17" t="s">
        <v>48</v>
      </c>
      <c r="J86" s="17" t="s">
        <v>37</v>
      </c>
      <c r="K86" s="4">
        <v>44952</v>
      </c>
    </row>
    <row r="87" spans="1:11" x14ac:dyDescent="0.25">
      <c r="A87" s="17" t="s">
        <v>3</v>
      </c>
      <c r="B87" s="17" t="s">
        <v>75</v>
      </c>
      <c r="C87">
        <v>0.75</v>
      </c>
      <c r="D87" s="17" t="s">
        <v>23</v>
      </c>
      <c r="E87" s="17" t="s">
        <v>56</v>
      </c>
      <c r="F87" s="17" t="s">
        <v>60</v>
      </c>
      <c r="G87" s="17" t="s">
        <v>79</v>
      </c>
      <c r="H87">
        <v>0.75</v>
      </c>
      <c r="I87" s="17" t="s">
        <v>48</v>
      </c>
      <c r="J87" s="17" t="s">
        <v>37</v>
      </c>
      <c r="K87" s="4">
        <v>44984</v>
      </c>
    </row>
    <row r="88" spans="1:11" x14ac:dyDescent="0.25">
      <c r="A88" s="17" t="s">
        <v>3</v>
      </c>
      <c r="B88" s="17" t="s">
        <v>75</v>
      </c>
      <c r="C88">
        <v>0.75</v>
      </c>
      <c r="D88" s="17" t="s">
        <v>23</v>
      </c>
      <c r="E88" s="17" t="s">
        <v>56</v>
      </c>
      <c r="F88" s="17" t="s">
        <v>60</v>
      </c>
      <c r="G88" s="17" t="s">
        <v>79</v>
      </c>
      <c r="H88">
        <v>0.75</v>
      </c>
      <c r="I88" s="17" t="s">
        <v>48</v>
      </c>
      <c r="J88" s="17" t="s">
        <v>37</v>
      </c>
      <c r="K88" s="4">
        <v>44984</v>
      </c>
    </row>
    <row r="89" spans="1:11" x14ac:dyDescent="0.25">
      <c r="A89" s="17" t="s">
        <v>3</v>
      </c>
      <c r="B89" s="17" t="s">
        <v>75</v>
      </c>
      <c r="C89">
        <v>0.75</v>
      </c>
      <c r="D89" s="17" t="s">
        <v>23</v>
      </c>
      <c r="E89" s="17" t="s">
        <v>56</v>
      </c>
      <c r="F89" s="17" t="s">
        <v>57</v>
      </c>
      <c r="G89" s="17" t="s">
        <v>79</v>
      </c>
      <c r="H89">
        <v>2.75</v>
      </c>
      <c r="I89" s="17" t="s">
        <v>48</v>
      </c>
      <c r="J89" s="17" t="s">
        <v>37</v>
      </c>
      <c r="K89" s="4">
        <v>44985</v>
      </c>
    </row>
    <row r="90" spans="1:11" x14ac:dyDescent="0.25">
      <c r="A90" s="17" t="s">
        <v>3</v>
      </c>
      <c r="B90" s="17" t="s">
        <v>75</v>
      </c>
      <c r="C90">
        <v>0.75</v>
      </c>
      <c r="D90" s="17" t="s">
        <v>23</v>
      </c>
      <c r="E90" s="17" t="s">
        <v>56</v>
      </c>
      <c r="F90" s="17" t="s">
        <v>60</v>
      </c>
      <c r="G90" s="17" t="s">
        <v>79</v>
      </c>
      <c r="H90">
        <v>1.25</v>
      </c>
      <c r="I90" s="17" t="s">
        <v>48</v>
      </c>
      <c r="J90" s="17" t="s">
        <v>37</v>
      </c>
      <c r="K90" s="4">
        <v>44985</v>
      </c>
    </row>
    <row r="91" spans="1:11" x14ac:dyDescent="0.25">
      <c r="A91" s="17" t="s">
        <v>3</v>
      </c>
      <c r="B91" s="17" t="s">
        <v>75</v>
      </c>
      <c r="C91">
        <v>0.5</v>
      </c>
      <c r="D91" s="17" t="s">
        <v>23</v>
      </c>
      <c r="E91" s="17" t="s">
        <v>56</v>
      </c>
      <c r="F91" s="17" t="s">
        <v>60</v>
      </c>
      <c r="G91" s="17" t="s">
        <v>79</v>
      </c>
      <c r="H91">
        <v>1.25</v>
      </c>
      <c r="I91" s="17" t="s">
        <v>48</v>
      </c>
      <c r="J91" s="17" t="s">
        <v>37</v>
      </c>
      <c r="K91" s="4">
        <v>44985</v>
      </c>
    </row>
    <row r="92" spans="1:11" x14ac:dyDescent="0.25">
      <c r="A92" s="17" t="s">
        <v>3</v>
      </c>
      <c r="B92" s="17" t="s">
        <v>75</v>
      </c>
      <c r="C92">
        <v>0.75</v>
      </c>
      <c r="D92" s="17" t="s">
        <v>23</v>
      </c>
      <c r="E92" s="17" t="s">
        <v>56</v>
      </c>
      <c r="F92" s="17" t="s">
        <v>57</v>
      </c>
      <c r="G92" s="17" t="s">
        <v>79</v>
      </c>
      <c r="H92">
        <v>0.75</v>
      </c>
      <c r="I92" s="17" t="s">
        <v>48</v>
      </c>
      <c r="J92" s="17" t="s">
        <v>37</v>
      </c>
      <c r="K92" s="4">
        <v>44986</v>
      </c>
    </row>
    <row r="93" spans="1:11" x14ac:dyDescent="0.25">
      <c r="A93" s="17" t="s">
        <v>3</v>
      </c>
      <c r="B93" s="17" t="s">
        <v>75</v>
      </c>
      <c r="C93">
        <v>0.75</v>
      </c>
      <c r="D93" s="17" t="s">
        <v>23</v>
      </c>
      <c r="E93" s="17" t="s">
        <v>56</v>
      </c>
      <c r="F93" s="17" t="s">
        <v>57</v>
      </c>
      <c r="G93" s="17" t="s">
        <v>79</v>
      </c>
      <c r="H93">
        <v>0.75</v>
      </c>
      <c r="I93" s="17" t="s">
        <v>48</v>
      </c>
      <c r="J93" s="17" t="s">
        <v>37</v>
      </c>
      <c r="K93" s="4">
        <v>44986</v>
      </c>
    </row>
    <row r="94" spans="1:11" x14ac:dyDescent="0.25">
      <c r="A94" s="17" t="s">
        <v>3</v>
      </c>
      <c r="B94" s="17" t="s">
        <v>75</v>
      </c>
      <c r="C94">
        <v>0.75</v>
      </c>
      <c r="D94" s="17" t="s">
        <v>23</v>
      </c>
      <c r="E94" s="17" t="s">
        <v>56</v>
      </c>
      <c r="F94" s="17" t="s">
        <v>60</v>
      </c>
      <c r="G94" s="17" t="s">
        <v>79</v>
      </c>
      <c r="H94">
        <v>0.75</v>
      </c>
      <c r="I94" s="17" t="s">
        <v>48</v>
      </c>
      <c r="J94" s="17" t="s">
        <v>37</v>
      </c>
      <c r="K94" s="4">
        <v>44987</v>
      </c>
    </row>
    <row r="95" spans="1:11" x14ac:dyDescent="0.25">
      <c r="A95" s="17" t="s">
        <v>3</v>
      </c>
      <c r="B95" s="17" t="s">
        <v>75</v>
      </c>
      <c r="C95">
        <v>0.75</v>
      </c>
      <c r="D95" s="17" t="s">
        <v>23</v>
      </c>
      <c r="E95" s="17" t="s">
        <v>56</v>
      </c>
      <c r="F95" s="17" t="s">
        <v>52</v>
      </c>
      <c r="G95" s="17" t="s">
        <v>79</v>
      </c>
      <c r="H95">
        <v>0.75</v>
      </c>
      <c r="I95" s="17" t="s">
        <v>48</v>
      </c>
      <c r="J95" s="17" t="s">
        <v>37</v>
      </c>
      <c r="K95" s="4">
        <v>44984</v>
      </c>
    </row>
    <row r="96" spans="1:11" x14ac:dyDescent="0.25">
      <c r="A96" s="17" t="s">
        <v>3</v>
      </c>
      <c r="B96" s="17" t="s">
        <v>75</v>
      </c>
      <c r="C96">
        <v>0.5</v>
      </c>
      <c r="D96" s="17" t="s">
        <v>23</v>
      </c>
      <c r="E96" s="17" t="s">
        <v>58</v>
      </c>
      <c r="F96" s="17" t="s">
        <v>52</v>
      </c>
      <c r="G96" s="17" t="s">
        <v>76</v>
      </c>
      <c r="H96">
        <v>2</v>
      </c>
      <c r="I96" s="17" t="s">
        <v>48</v>
      </c>
      <c r="J96" s="17" t="s">
        <v>48</v>
      </c>
      <c r="K96" s="4">
        <v>44973</v>
      </c>
    </row>
    <row r="97" spans="1:11" x14ac:dyDescent="0.25">
      <c r="A97" s="17" t="s">
        <v>3</v>
      </c>
      <c r="B97" s="17" t="s">
        <v>75</v>
      </c>
      <c r="C97">
        <v>0.5</v>
      </c>
      <c r="D97" s="17" t="s">
        <v>23</v>
      </c>
      <c r="E97" s="17" t="s">
        <v>58</v>
      </c>
      <c r="F97" s="17" t="s">
        <v>52</v>
      </c>
      <c r="G97" s="17" t="s">
        <v>76</v>
      </c>
      <c r="H97">
        <v>2</v>
      </c>
      <c r="I97" s="17" t="s">
        <v>48</v>
      </c>
      <c r="J97" s="17" t="s">
        <v>48</v>
      </c>
      <c r="K97" s="4">
        <v>44973</v>
      </c>
    </row>
    <row r="98" spans="1:11" x14ac:dyDescent="0.25">
      <c r="A98" s="17" t="s">
        <v>3</v>
      </c>
      <c r="B98" s="17" t="s">
        <v>75</v>
      </c>
      <c r="C98">
        <v>0.5</v>
      </c>
      <c r="D98" s="17" t="s">
        <v>23</v>
      </c>
      <c r="E98" s="17" t="s">
        <v>58</v>
      </c>
      <c r="F98" s="17" t="s">
        <v>103</v>
      </c>
      <c r="G98" s="17" t="s">
        <v>76</v>
      </c>
      <c r="H98">
        <v>1</v>
      </c>
      <c r="I98" s="17" t="s">
        <v>48</v>
      </c>
      <c r="J98" s="17" t="s">
        <v>48</v>
      </c>
      <c r="K98" s="4">
        <v>44986</v>
      </c>
    </row>
    <row r="99" spans="1:11" x14ac:dyDescent="0.25">
      <c r="A99" s="17" t="s">
        <v>3</v>
      </c>
      <c r="B99" s="17" t="s">
        <v>75</v>
      </c>
      <c r="C99">
        <v>0.5</v>
      </c>
      <c r="D99" s="17" t="s">
        <v>23</v>
      </c>
      <c r="E99" s="17" t="s">
        <v>58</v>
      </c>
      <c r="F99" s="17" t="s">
        <v>103</v>
      </c>
      <c r="G99" s="17" t="s">
        <v>76</v>
      </c>
      <c r="H99">
        <v>1</v>
      </c>
      <c r="I99" s="17" t="s">
        <v>48</v>
      </c>
      <c r="J99" s="17" t="s">
        <v>48</v>
      </c>
      <c r="K99" s="4">
        <v>44986</v>
      </c>
    </row>
    <row r="100" spans="1:11" x14ac:dyDescent="0.25">
      <c r="A100" s="17" t="s">
        <v>3</v>
      </c>
      <c r="B100" s="17" t="s">
        <v>75</v>
      </c>
      <c r="C100">
        <v>0.5</v>
      </c>
      <c r="D100" s="17" t="s">
        <v>23</v>
      </c>
      <c r="E100" s="17" t="s">
        <v>58</v>
      </c>
      <c r="F100" s="17" t="s">
        <v>60</v>
      </c>
      <c r="G100" s="17" t="s">
        <v>76</v>
      </c>
      <c r="H100">
        <v>1</v>
      </c>
      <c r="I100" s="17" t="s">
        <v>48</v>
      </c>
      <c r="J100" s="17" t="s">
        <v>48</v>
      </c>
      <c r="K100" s="4">
        <v>44988</v>
      </c>
    </row>
    <row r="101" spans="1:11" x14ac:dyDescent="0.25">
      <c r="A101" s="17" t="s">
        <v>3</v>
      </c>
      <c r="B101" s="17" t="s">
        <v>75</v>
      </c>
      <c r="C101">
        <v>0.5</v>
      </c>
      <c r="D101" s="17" t="s">
        <v>23</v>
      </c>
      <c r="E101" s="17" t="s">
        <v>58</v>
      </c>
      <c r="F101" s="17" t="s">
        <v>60</v>
      </c>
      <c r="G101" s="17" t="s">
        <v>76</v>
      </c>
      <c r="H101">
        <v>1</v>
      </c>
      <c r="I101" s="17" t="s">
        <v>48</v>
      </c>
      <c r="J101" s="17" t="s">
        <v>48</v>
      </c>
      <c r="K101" s="4">
        <v>44988</v>
      </c>
    </row>
    <row r="102" spans="1:11" x14ac:dyDescent="0.25">
      <c r="A102" s="17" t="s">
        <v>3</v>
      </c>
      <c r="B102" s="17" t="s">
        <v>75</v>
      </c>
      <c r="C102">
        <v>0.75</v>
      </c>
      <c r="D102" s="17" t="s">
        <v>23</v>
      </c>
      <c r="E102" s="17" t="s">
        <v>56</v>
      </c>
      <c r="F102" s="17" t="s">
        <v>60</v>
      </c>
      <c r="G102" s="17" t="s">
        <v>77</v>
      </c>
      <c r="H102">
        <v>0.75</v>
      </c>
      <c r="I102" s="17" t="s">
        <v>48</v>
      </c>
      <c r="J102" s="17" t="s">
        <v>78</v>
      </c>
      <c r="K102" s="4">
        <v>44984</v>
      </c>
    </row>
    <row r="103" spans="1:11" x14ac:dyDescent="0.25">
      <c r="A103" s="17" t="s">
        <v>3</v>
      </c>
      <c r="B103" s="17" t="s">
        <v>75</v>
      </c>
      <c r="C103">
        <v>0.75</v>
      </c>
      <c r="D103" s="17" t="s">
        <v>23</v>
      </c>
      <c r="E103" s="17" t="s">
        <v>56</v>
      </c>
      <c r="F103" s="17" t="s">
        <v>60</v>
      </c>
      <c r="G103" s="17" t="s">
        <v>77</v>
      </c>
      <c r="H103">
        <v>0.75</v>
      </c>
      <c r="I103" s="17" t="s">
        <v>48</v>
      </c>
      <c r="J103" s="17" t="s">
        <v>78</v>
      </c>
      <c r="K103" s="4">
        <v>44986</v>
      </c>
    </row>
    <row r="104" spans="1:11" x14ac:dyDescent="0.25">
      <c r="A104" s="17" t="s">
        <v>3</v>
      </c>
      <c r="B104" s="17" t="s">
        <v>75</v>
      </c>
      <c r="C104">
        <v>0.75</v>
      </c>
      <c r="D104" s="17" t="s">
        <v>23</v>
      </c>
      <c r="E104" s="17" t="s">
        <v>58</v>
      </c>
      <c r="F104" s="17" t="s">
        <v>57</v>
      </c>
      <c r="G104" s="17" t="s">
        <v>77</v>
      </c>
      <c r="H104">
        <v>0.75</v>
      </c>
      <c r="I104" s="17" t="s">
        <v>48</v>
      </c>
      <c r="J104" s="17" t="s">
        <v>78</v>
      </c>
      <c r="K104" s="4">
        <v>44986</v>
      </c>
    </row>
    <row r="105" spans="1:11" x14ac:dyDescent="0.25">
      <c r="A105" s="17" t="s">
        <v>121</v>
      </c>
      <c r="B105" s="17" t="s">
        <v>75</v>
      </c>
      <c r="C105">
        <v>3</v>
      </c>
      <c r="D105" s="17" t="s">
        <v>23</v>
      </c>
      <c r="E105" s="17" t="s">
        <v>58</v>
      </c>
      <c r="F105" s="17" t="s">
        <v>103</v>
      </c>
      <c r="G105" s="17" t="s">
        <v>82</v>
      </c>
      <c r="H105">
        <v>15.58</v>
      </c>
      <c r="I105" s="17" t="s">
        <v>81</v>
      </c>
      <c r="J105" s="17" t="s">
        <v>48</v>
      </c>
      <c r="K105" s="4">
        <v>44965</v>
      </c>
    </row>
    <row r="106" spans="1:11" x14ac:dyDescent="0.25">
      <c r="A106" s="17" t="s">
        <v>4</v>
      </c>
      <c r="B106" s="17" t="s">
        <v>75</v>
      </c>
      <c r="C106">
        <v>1</v>
      </c>
      <c r="D106" s="17" t="s">
        <v>23</v>
      </c>
      <c r="E106" s="17" t="s">
        <v>58</v>
      </c>
      <c r="F106" s="17" t="s">
        <v>57</v>
      </c>
      <c r="G106" s="17" t="s">
        <v>76</v>
      </c>
      <c r="H106">
        <v>1.5</v>
      </c>
      <c r="I106" s="17" t="s">
        <v>48</v>
      </c>
      <c r="J106" s="17" t="s">
        <v>48</v>
      </c>
      <c r="K106" s="4">
        <v>44981</v>
      </c>
    </row>
    <row r="107" spans="1:11" x14ac:dyDescent="0.25">
      <c r="A107" s="17" t="s">
        <v>4</v>
      </c>
      <c r="B107" s="17" t="s">
        <v>75</v>
      </c>
      <c r="C107">
        <v>1.5</v>
      </c>
      <c r="D107" s="17" t="s">
        <v>23</v>
      </c>
      <c r="E107" s="17" t="s">
        <v>58</v>
      </c>
      <c r="F107" s="17" t="s">
        <v>52</v>
      </c>
      <c r="G107" s="17" t="s">
        <v>839</v>
      </c>
      <c r="H107">
        <v>1.5</v>
      </c>
      <c r="I107" s="17" t="s">
        <v>78</v>
      </c>
      <c r="J107" s="17" t="s">
        <v>78</v>
      </c>
      <c r="K107" s="4">
        <v>44974</v>
      </c>
    </row>
    <row r="108" spans="1:11" x14ac:dyDescent="0.25">
      <c r="A108" s="17" t="s">
        <v>4</v>
      </c>
      <c r="B108" s="17" t="s">
        <v>50</v>
      </c>
      <c r="C108">
        <v>0.33</v>
      </c>
      <c r="D108" s="17" t="s">
        <v>23</v>
      </c>
      <c r="E108" s="17" t="s">
        <v>56</v>
      </c>
      <c r="F108" s="17" t="s">
        <v>60</v>
      </c>
      <c r="G108" s="17" t="s">
        <v>79</v>
      </c>
      <c r="H108">
        <v>0.33</v>
      </c>
      <c r="I108" s="17" t="s">
        <v>48</v>
      </c>
      <c r="J108" s="17" t="s">
        <v>37</v>
      </c>
      <c r="K108" s="4">
        <v>44979</v>
      </c>
    </row>
    <row r="109" spans="1:11" x14ac:dyDescent="0.25">
      <c r="A109" s="17" t="s">
        <v>4</v>
      </c>
      <c r="B109" s="17" t="s">
        <v>50</v>
      </c>
      <c r="C109">
        <v>0.33</v>
      </c>
      <c r="D109" s="17" t="s">
        <v>23</v>
      </c>
      <c r="E109" s="17" t="s">
        <v>56</v>
      </c>
      <c r="F109" s="17" t="s">
        <v>60</v>
      </c>
      <c r="G109" s="17" t="s">
        <v>79</v>
      </c>
      <c r="H109">
        <v>0.33</v>
      </c>
      <c r="I109" s="17" t="s">
        <v>48</v>
      </c>
      <c r="J109" s="17" t="s">
        <v>37</v>
      </c>
      <c r="K109" s="4">
        <v>44980</v>
      </c>
    </row>
    <row r="110" spans="1:11" x14ac:dyDescent="0.25">
      <c r="A110" s="17" t="s">
        <v>4</v>
      </c>
      <c r="B110" s="17" t="s">
        <v>50</v>
      </c>
      <c r="C110">
        <v>0.33</v>
      </c>
      <c r="D110" s="17" t="s">
        <v>23</v>
      </c>
      <c r="E110" s="17" t="s">
        <v>56</v>
      </c>
      <c r="F110" s="17" t="s">
        <v>57</v>
      </c>
      <c r="G110" s="17" t="s">
        <v>79</v>
      </c>
      <c r="H110">
        <v>0.33</v>
      </c>
      <c r="I110" s="17" t="s">
        <v>48</v>
      </c>
      <c r="J110" s="17" t="s">
        <v>37</v>
      </c>
      <c r="K110" s="4">
        <v>44979</v>
      </c>
    </row>
    <row r="111" spans="1:11" x14ac:dyDescent="0.25">
      <c r="A111" s="17" t="s">
        <v>4</v>
      </c>
      <c r="B111" s="17" t="s">
        <v>50</v>
      </c>
      <c r="C111">
        <v>0.25</v>
      </c>
      <c r="D111" s="17" t="s">
        <v>23</v>
      </c>
      <c r="E111" s="17" t="s">
        <v>56</v>
      </c>
      <c r="F111" s="17" t="s">
        <v>57</v>
      </c>
      <c r="G111" s="17" t="s">
        <v>79</v>
      </c>
      <c r="H111">
        <v>0.25</v>
      </c>
      <c r="I111" s="17" t="s">
        <v>48</v>
      </c>
      <c r="J111" s="17" t="s">
        <v>37</v>
      </c>
      <c r="K111" s="4">
        <v>44984</v>
      </c>
    </row>
    <row r="112" spans="1:11" x14ac:dyDescent="0.25">
      <c r="A112" s="17" t="s">
        <v>4</v>
      </c>
      <c r="B112" s="17" t="s">
        <v>50</v>
      </c>
      <c r="C112">
        <v>0.25</v>
      </c>
      <c r="D112" s="17" t="s">
        <v>23</v>
      </c>
      <c r="E112" s="17" t="s">
        <v>56</v>
      </c>
      <c r="F112" s="17" t="s">
        <v>57</v>
      </c>
      <c r="G112" s="17" t="s">
        <v>79</v>
      </c>
      <c r="H112">
        <v>0.25</v>
      </c>
      <c r="I112" s="17" t="s">
        <v>48</v>
      </c>
      <c r="J112" s="17" t="s">
        <v>37</v>
      </c>
      <c r="K112" s="4">
        <v>44984</v>
      </c>
    </row>
    <row r="113" spans="1:11" x14ac:dyDescent="0.25">
      <c r="A113" s="17" t="s">
        <v>4</v>
      </c>
      <c r="B113" s="17" t="s">
        <v>50</v>
      </c>
      <c r="C113">
        <v>0.17</v>
      </c>
      <c r="D113" s="17" t="s">
        <v>23</v>
      </c>
      <c r="E113" s="17" t="s">
        <v>56</v>
      </c>
      <c r="F113" s="17" t="s">
        <v>57</v>
      </c>
      <c r="G113" s="17" t="s">
        <v>79</v>
      </c>
      <c r="H113">
        <v>0.17</v>
      </c>
      <c r="I113" s="17" t="s">
        <v>48</v>
      </c>
      <c r="J113" s="17" t="s">
        <v>37</v>
      </c>
      <c r="K113" s="4">
        <v>44984</v>
      </c>
    </row>
    <row r="114" spans="1:11" x14ac:dyDescent="0.25">
      <c r="A114" s="17" t="s">
        <v>4</v>
      </c>
      <c r="B114" s="17" t="s">
        <v>50</v>
      </c>
      <c r="C114">
        <v>0.33</v>
      </c>
      <c r="D114" s="17" t="s">
        <v>23</v>
      </c>
      <c r="E114" s="17" t="s">
        <v>56</v>
      </c>
      <c r="F114" s="17" t="s">
        <v>57</v>
      </c>
      <c r="G114" s="17" t="s">
        <v>79</v>
      </c>
      <c r="H114">
        <v>0.33</v>
      </c>
      <c r="I114" s="17" t="s">
        <v>48</v>
      </c>
      <c r="J114" s="17" t="s">
        <v>37</v>
      </c>
      <c r="K114" s="4">
        <v>44987</v>
      </c>
    </row>
    <row r="115" spans="1:11" x14ac:dyDescent="0.25">
      <c r="A115" s="17" t="s">
        <v>4</v>
      </c>
      <c r="B115" s="17" t="s">
        <v>50</v>
      </c>
      <c r="C115">
        <v>0.5</v>
      </c>
      <c r="D115" s="17" t="s">
        <v>23</v>
      </c>
      <c r="E115" s="17" t="s">
        <v>56</v>
      </c>
      <c r="F115" s="17" t="s">
        <v>57</v>
      </c>
      <c r="G115" s="17" t="s">
        <v>79</v>
      </c>
      <c r="H115">
        <v>0.5</v>
      </c>
      <c r="I115" s="17" t="s">
        <v>48</v>
      </c>
      <c r="J115" s="17" t="s">
        <v>37</v>
      </c>
      <c r="K115" s="4">
        <v>44987</v>
      </c>
    </row>
    <row r="116" spans="1:11" x14ac:dyDescent="0.25">
      <c r="A116" s="17" t="s">
        <v>4</v>
      </c>
      <c r="B116" s="17" t="s">
        <v>50</v>
      </c>
      <c r="C116">
        <v>0.17</v>
      </c>
      <c r="D116" s="17" t="s">
        <v>23</v>
      </c>
      <c r="E116" s="17" t="s">
        <v>56</v>
      </c>
      <c r="F116" s="17" t="s">
        <v>57</v>
      </c>
      <c r="G116" s="17" t="s">
        <v>79</v>
      </c>
      <c r="H116">
        <v>0.17</v>
      </c>
      <c r="I116" s="17" t="s">
        <v>48</v>
      </c>
      <c r="J116" s="17" t="s">
        <v>37</v>
      </c>
      <c r="K116" s="4">
        <v>44987</v>
      </c>
    </row>
    <row r="117" spans="1:11" x14ac:dyDescent="0.25">
      <c r="A117" s="17" t="s">
        <v>4</v>
      </c>
      <c r="B117" s="17" t="s">
        <v>50</v>
      </c>
      <c r="C117">
        <v>0.33</v>
      </c>
      <c r="D117" s="17" t="s">
        <v>23</v>
      </c>
      <c r="E117" s="17" t="s">
        <v>56</v>
      </c>
      <c r="F117" s="17" t="s">
        <v>57</v>
      </c>
      <c r="G117" s="17" t="s">
        <v>79</v>
      </c>
      <c r="H117">
        <v>0.33</v>
      </c>
      <c r="I117" s="17" t="s">
        <v>48</v>
      </c>
      <c r="J117" s="17" t="s">
        <v>37</v>
      </c>
      <c r="K117" s="4">
        <v>44987</v>
      </c>
    </row>
    <row r="118" spans="1:11" x14ac:dyDescent="0.25">
      <c r="A118" s="17" t="s">
        <v>4</v>
      </c>
      <c r="B118" s="17" t="s">
        <v>50</v>
      </c>
      <c r="C118">
        <v>2</v>
      </c>
      <c r="D118" s="17" t="s">
        <v>23</v>
      </c>
      <c r="E118" s="17" t="s">
        <v>58</v>
      </c>
      <c r="F118" s="17" t="s">
        <v>57</v>
      </c>
      <c r="G118" s="17" t="s">
        <v>76</v>
      </c>
      <c r="H118">
        <v>2</v>
      </c>
      <c r="I118" s="17" t="s">
        <v>48</v>
      </c>
      <c r="J118" s="17" t="s">
        <v>48</v>
      </c>
      <c r="K118" s="4">
        <v>44984</v>
      </c>
    </row>
    <row r="119" spans="1:11" x14ac:dyDescent="0.25">
      <c r="A119" s="17" t="s">
        <v>5</v>
      </c>
      <c r="B119" s="17" t="s">
        <v>75</v>
      </c>
      <c r="C119">
        <v>2</v>
      </c>
      <c r="D119" s="17" t="s">
        <v>23</v>
      </c>
      <c r="E119" s="17" t="s">
        <v>58</v>
      </c>
      <c r="F119" s="17" t="s">
        <v>60</v>
      </c>
      <c r="G119" s="17" t="s">
        <v>82</v>
      </c>
      <c r="H119">
        <v>2</v>
      </c>
      <c r="I119" s="17" t="s">
        <v>81</v>
      </c>
      <c r="J119" s="17" t="s">
        <v>48</v>
      </c>
      <c r="K119" s="4">
        <v>44985</v>
      </c>
    </row>
    <row r="120" spans="1:11" x14ac:dyDescent="0.25">
      <c r="A120" s="17" t="s">
        <v>5</v>
      </c>
      <c r="B120" s="17" t="s">
        <v>75</v>
      </c>
      <c r="C120">
        <v>0.25</v>
      </c>
      <c r="D120" s="17" t="s">
        <v>23</v>
      </c>
      <c r="E120" s="17" t="s">
        <v>58</v>
      </c>
      <c r="F120" s="17" t="s">
        <v>60</v>
      </c>
      <c r="G120" s="17" t="s">
        <v>76</v>
      </c>
      <c r="H120">
        <v>49.75</v>
      </c>
      <c r="I120" s="17" t="s">
        <v>48</v>
      </c>
      <c r="J120" s="17" t="s">
        <v>48</v>
      </c>
      <c r="K120" s="4">
        <v>44536</v>
      </c>
    </row>
    <row r="121" spans="1:11" x14ac:dyDescent="0.25">
      <c r="A121" s="17" t="s">
        <v>5</v>
      </c>
      <c r="B121" s="17" t="s">
        <v>75</v>
      </c>
      <c r="C121">
        <v>0.5</v>
      </c>
      <c r="D121" s="17" t="s">
        <v>23</v>
      </c>
      <c r="E121" s="17" t="s">
        <v>58</v>
      </c>
      <c r="F121" s="17" t="s">
        <v>60</v>
      </c>
      <c r="G121" s="17" t="s">
        <v>76</v>
      </c>
      <c r="H121">
        <v>6.25</v>
      </c>
      <c r="I121" s="17" t="s">
        <v>48</v>
      </c>
      <c r="J121" s="17" t="s">
        <v>48</v>
      </c>
      <c r="K121" s="4">
        <v>44950</v>
      </c>
    </row>
    <row r="122" spans="1:11" x14ac:dyDescent="0.25">
      <c r="A122" s="17" t="s">
        <v>5</v>
      </c>
      <c r="B122" s="17" t="s">
        <v>50</v>
      </c>
      <c r="C122">
        <v>0.33</v>
      </c>
      <c r="D122" s="17" t="s">
        <v>23</v>
      </c>
      <c r="E122" s="17" t="s">
        <v>56</v>
      </c>
      <c r="F122" s="17" t="s">
        <v>57</v>
      </c>
      <c r="G122" s="17" t="s">
        <v>79</v>
      </c>
      <c r="H122">
        <v>0.33</v>
      </c>
      <c r="I122" s="17" t="s">
        <v>48</v>
      </c>
      <c r="J122" s="17" t="s">
        <v>37</v>
      </c>
      <c r="K122" s="4">
        <v>44981</v>
      </c>
    </row>
    <row r="123" spans="1:11" x14ac:dyDescent="0.25">
      <c r="A123" s="17" t="s">
        <v>5</v>
      </c>
      <c r="B123" s="17" t="s">
        <v>50</v>
      </c>
      <c r="C123">
        <v>0.57999999999999996</v>
      </c>
      <c r="D123" s="17" t="s">
        <v>23</v>
      </c>
      <c r="E123" s="17" t="s">
        <v>56</v>
      </c>
      <c r="F123" s="17" t="s">
        <v>57</v>
      </c>
      <c r="G123" s="17" t="s">
        <v>79</v>
      </c>
      <c r="H123">
        <v>0.57999999999999996</v>
      </c>
      <c r="I123" s="17" t="s">
        <v>48</v>
      </c>
      <c r="J123" s="17" t="s">
        <v>37</v>
      </c>
      <c r="K123" s="4">
        <v>44978</v>
      </c>
    </row>
    <row r="124" spans="1:11" x14ac:dyDescent="0.25">
      <c r="A124" s="17" t="s">
        <v>5</v>
      </c>
      <c r="B124" s="17" t="s">
        <v>50</v>
      </c>
      <c r="C124">
        <v>0.5</v>
      </c>
      <c r="D124" s="17" t="s">
        <v>23</v>
      </c>
      <c r="E124" s="17" t="s">
        <v>56</v>
      </c>
      <c r="F124" s="17" t="s">
        <v>60</v>
      </c>
      <c r="G124" s="17" t="s">
        <v>79</v>
      </c>
      <c r="H124">
        <v>0.5</v>
      </c>
      <c r="I124" s="17" t="s">
        <v>48</v>
      </c>
      <c r="J124" s="17" t="s">
        <v>37</v>
      </c>
      <c r="K124" s="4">
        <v>44979</v>
      </c>
    </row>
    <row r="125" spans="1:11" x14ac:dyDescent="0.25">
      <c r="A125" s="17" t="s">
        <v>5</v>
      </c>
      <c r="B125" s="17" t="s">
        <v>50</v>
      </c>
      <c r="C125">
        <v>0.25</v>
      </c>
      <c r="D125" s="17" t="s">
        <v>23</v>
      </c>
      <c r="E125" s="17" t="s">
        <v>56</v>
      </c>
      <c r="F125" s="17" t="s">
        <v>57</v>
      </c>
      <c r="G125" s="17" t="s">
        <v>79</v>
      </c>
      <c r="H125">
        <v>0.25</v>
      </c>
      <c r="I125" s="17" t="s">
        <v>48</v>
      </c>
      <c r="J125" s="17" t="s">
        <v>37</v>
      </c>
      <c r="K125" s="4">
        <v>44981</v>
      </c>
    </row>
    <row r="126" spans="1:11" x14ac:dyDescent="0.25">
      <c r="A126" s="17" t="s">
        <v>5</v>
      </c>
      <c r="B126" s="17" t="s">
        <v>50</v>
      </c>
      <c r="C126">
        <v>0.67</v>
      </c>
      <c r="D126" s="17" t="s">
        <v>23</v>
      </c>
      <c r="E126" s="17" t="s">
        <v>56</v>
      </c>
      <c r="F126" s="17" t="s">
        <v>57</v>
      </c>
      <c r="G126" s="17" t="s">
        <v>79</v>
      </c>
      <c r="H126">
        <v>0.67</v>
      </c>
      <c r="I126" s="17" t="s">
        <v>48</v>
      </c>
      <c r="J126" s="17" t="s">
        <v>37</v>
      </c>
      <c r="K126" s="4">
        <v>44980</v>
      </c>
    </row>
    <row r="127" spans="1:11" x14ac:dyDescent="0.25">
      <c r="A127" s="17" t="s">
        <v>5</v>
      </c>
      <c r="B127" s="17" t="s">
        <v>50</v>
      </c>
      <c r="C127">
        <v>1</v>
      </c>
      <c r="D127" s="17" t="s">
        <v>23</v>
      </c>
      <c r="E127" s="17" t="s">
        <v>56</v>
      </c>
      <c r="F127" s="17" t="s">
        <v>57</v>
      </c>
      <c r="G127" s="17" t="s">
        <v>79</v>
      </c>
      <c r="H127">
        <v>1</v>
      </c>
      <c r="I127" s="17" t="s">
        <v>48</v>
      </c>
      <c r="J127" s="17" t="s">
        <v>37</v>
      </c>
      <c r="K127" s="4">
        <v>44967</v>
      </c>
    </row>
    <row r="128" spans="1:11" x14ac:dyDescent="0.25">
      <c r="A128" s="17" t="s">
        <v>5</v>
      </c>
      <c r="B128" s="17" t="s">
        <v>50</v>
      </c>
      <c r="C128">
        <v>0.25</v>
      </c>
      <c r="D128" s="17" t="s">
        <v>23</v>
      </c>
      <c r="E128" s="17" t="s">
        <v>56</v>
      </c>
      <c r="F128" s="17" t="s">
        <v>57</v>
      </c>
      <c r="G128" s="17" t="s">
        <v>79</v>
      </c>
      <c r="H128">
        <v>0.25</v>
      </c>
      <c r="I128" s="17" t="s">
        <v>48</v>
      </c>
      <c r="J128" s="17" t="s">
        <v>37</v>
      </c>
      <c r="K128" s="4">
        <v>44981</v>
      </c>
    </row>
    <row r="129" spans="1:11" x14ac:dyDescent="0.25">
      <c r="A129" s="17" t="s">
        <v>5</v>
      </c>
      <c r="B129" s="17" t="s">
        <v>50</v>
      </c>
      <c r="C129">
        <v>0.17</v>
      </c>
      <c r="D129" s="17" t="s">
        <v>23</v>
      </c>
      <c r="E129" s="17" t="s">
        <v>56</v>
      </c>
      <c r="F129" s="17" t="s">
        <v>61</v>
      </c>
      <c r="G129" s="17" t="s">
        <v>79</v>
      </c>
      <c r="H129">
        <v>0.17</v>
      </c>
      <c r="I129" s="17" t="s">
        <v>48</v>
      </c>
      <c r="J129" s="17" t="s">
        <v>37</v>
      </c>
      <c r="K129" s="4">
        <v>44972</v>
      </c>
    </row>
    <row r="130" spans="1:11" x14ac:dyDescent="0.25">
      <c r="A130" s="17" t="s">
        <v>5</v>
      </c>
      <c r="B130" s="17" t="s">
        <v>50</v>
      </c>
      <c r="C130">
        <v>0.25</v>
      </c>
      <c r="D130" s="17" t="s">
        <v>23</v>
      </c>
      <c r="E130" s="17" t="s">
        <v>56</v>
      </c>
      <c r="F130" s="17" t="s">
        <v>60</v>
      </c>
      <c r="G130" s="17" t="s">
        <v>79</v>
      </c>
      <c r="H130">
        <v>0.25</v>
      </c>
      <c r="I130" s="17" t="s">
        <v>48</v>
      </c>
      <c r="J130" s="17" t="s">
        <v>37</v>
      </c>
      <c r="K130" s="4">
        <v>44985</v>
      </c>
    </row>
    <row r="131" spans="1:11" x14ac:dyDescent="0.25">
      <c r="A131" s="17" t="s">
        <v>5</v>
      </c>
      <c r="B131" s="17" t="s">
        <v>50</v>
      </c>
      <c r="C131">
        <v>0.75</v>
      </c>
      <c r="D131" s="17" t="s">
        <v>23</v>
      </c>
      <c r="E131" s="17" t="s">
        <v>56</v>
      </c>
      <c r="F131" s="17" t="s">
        <v>60</v>
      </c>
      <c r="G131" s="17" t="s">
        <v>79</v>
      </c>
      <c r="H131">
        <v>0.75</v>
      </c>
      <c r="I131" s="17" t="s">
        <v>48</v>
      </c>
      <c r="J131" s="17" t="s">
        <v>37</v>
      </c>
      <c r="K131" s="4">
        <v>44984</v>
      </c>
    </row>
    <row r="132" spans="1:11" x14ac:dyDescent="0.25">
      <c r="A132" s="17" t="s">
        <v>5</v>
      </c>
      <c r="B132" s="17" t="s">
        <v>50</v>
      </c>
      <c r="C132">
        <v>0.17</v>
      </c>
      <c r="D132" s="17" t="s">
        <v>23</v>
      </c>
      <c r="E132" s="17" t="s">
        <v>56</v>
      </c>
      <c r="F132" s="17" t="s">
        <v>57</v>
      </c>
      <c r="G132" s="17" t="s">
        <v>79</v>
      </c>
      <c r="H132">
        <v>0.17</v>
      </c>
      <c r="I132" s="17" t="s">
        <v>48</v>
      </c>
      <c r="J132" s="17" t="s">
        <v>37</v>
      </c>
      <c r="K132" s="4">
        <v>44985</v>
      </c>
    </row>
    <row r="133" spans="1:11" x14ac:dyDescent="0.25">
      <c r="A133" s="17" t="s">
        <v>5</v>
      </c>
      <c r="B133" s="17" t="s">
        <v>50</v>
      </c>
      <c r="C133">
        <v>1.5</v>
      </c>
      <c r="D133" s="17" t="s">
        <v>23</v>
      </c>
      <c r="E133" s="17" t="s">
        <v>56</v>
      </c>
      <c r="F133" s="17" t="s">
        <v>80</v>
      </c>
      <c r="G133" s="17" t="s">
        <v>79</v>
      </c>
      <c r="H133">
        <v>1.5</v>
      </c>
      <c r="I133" s="17" t="s">
        <v>48</v>
      </c>
      <c r="J133" s="17" t="s">
        <v>37</v>
      </c>
      <c r="K133" s="4">
        <v>44979</v>
      </c>
    </row>
    <row r="134" spans="1:11" x14ac:dyDescent="0.25">
      <c r="A134" s="17" t="s">
        <v>5</v>
      </c>
      <c r="B134" s="17" t="s">
        <v>50</v>
      </c>
      <c r="C134">
        <v>0.08</v>
      </c>
      <c r="D134" s="17" t="s">
        <v>23</v>
      </c>
      <c r="E134" s="17" t="s">
        <v>56</v>
      </c>
      <c r="F134" s="17" t="s">
        <v>57</v>
      </c>
      <c r="G134" s="17" t="s">
        <v>79</v>
      </c>
      <c r="H134">
        <v>0.08</v>
      </c>
      <c r="I134" s="17" t="s">
        <v>48</v>
      </c>
      <c r="J134" s="17" t="s">
        <v>37</v>
      </c>
      <c r="K134" s="4">
        <v>44985</v>
      </c>
    </row>
    <row r="135" spans="1:11" x14ac:dyDescent="0.25">
      <c r="A135" s="17" t="s">
        <v>5</v>
      </c>
      <c r="B135" s="17" t="s">
        <v>50</v>
      </c>
      <c r="C135">
        <v>0.25</v>
      </c>
      <c r="D135" s="17" t="s">
        <v>23</v>
      </c>
      <c r="E135" s="17" t="s">
        <v>56</v>
      </c>
      <c r="F135" s="17" t="s">
        <v>57</v>
      </c>
      <c r="G135" s="17" t="s">
        <v>79</v>
      </c>
      <c r="H135">
        <v>0.25</v>
      </c>
      <c r="I135" s="17" t="s">
        <v>48</v>
      </c>
      <c r="J135" s="17" t="s">
        <v>37</v>
      </c>
      <c r="K135" s="4">
        <v>44985</v>
      </c>
    </row>
    <row r="136" spans="1:11" x14ac:dyDescent="0.25">
      <c r="A136" s="17" t="s">
        <v>5</v>
      </c>
      <c r="B136" s="17" t="s">
        <v>50</v>
      </c>
      <c r="C136">
        <v>0.25</v>
      </c>
      <c r="D136" s="17" t="s">
        <v>23</v>
      </c>
      <c r="E136" s="17" t="s">
        <v>56</v>
      </c>
      <c r="F136" s="17" t="s">
        <v>57</v>
      </c>
      <c r="G136" s="17" t="s">
        <v>79</v>
      </c>
      <c r="H136">
        <v>0.25</v>
      </c>
      <c r="I136" s="17" t="s">
        <v>48</v>
      </c>
      <c r="J136" s="17" t="s">
        <v>37</v>
      </c>
      <c r="K136" s="4">
        <v>44981</v>
      </c>
    </row>
    <row r="137" spans="1:11" x14ac:dyDescent="0.25">
      <c r="A137" s="17" t="s">
        <v>5</v>
      </c>
      <c r="B137" s="17" t="s">
        <v>50</v>
      </c>
      <c r="C137">
        <v>0.33</v>
      </c>
      <c r="D137" s="17" t="s">
        <v>23</v>
      </c>
      <c r="E137" s="17" t="s">
        <v>56</v>
      </c>
      <c r="F137" s="17" t="s">
        <v>60</v>
      </c>
      <c r="G137" s="17" t="s">
        <v>79</v>
      </c>
      <c r="H137">
        <v>0.33</v>
      </c>
      <c r="I137" s="17" t="s">
        <v>48</v>
      </c>
      <c r="J137" s="17" t="s">
        <v>37</v>
      </c>
      <c r="K137" s="4">
        <v>44958</v>
      </c>
    </row>
    <row r="138" spans="1:11" x14ac:dyDescent="0.25">
      <c r="A138" s="17" t="s">
        <v>5</v>
      </c>
      <c r="B138" s="17" t="s">
        <v>50</v>
      </c>
      <c r="C138">
        <v>0.5</v>
      </c>
      <c r="D138" s="17" t="s">
        <v>23</v>
      </c>
      <c r="E138" s="17" t="s">
        <v>56</v>
      </c>
      <c r="F138" s="17" t="s">
        <v>60</v>
      </c>
      <c r="G138" s="17" t="s">
        <v>79</v>
      </c>
      <c r="H138">
        <v>0.5</v>
      </c>
      <c r="I138" s="17" t="s">
        <v>48</v>
      </c>
      <c r="J138" s="17" t="s">
        <v>37</v>
      </c>
      <c r="K138" s="4">
        <v>44956</v>
      </c>
    </row>
    <row r="139" spans="1:11" x14ac:dyDescent="0.25">
      <c r="A139" s="17" t="s">
        <v>5</v>
      </c>
      <c r="B139" s="17" t="s">
        <v>50</v>
      </c>
      <c r="C139">
        <v>0.25</v>
      </c>
      <c r="D139" s="17" t="s">
        <v>23</v>
      </c>
      <c r="E139" s="17" t="s">
        <v>56</v>
      </c>
      <c r="F139" s="17" t="s">
        <v>61</v>
      </c>
      <c r="G139" s="17" t="s">
        <v>79</v>
      </c>
      <c r="H139">
        <v>0.25</v>
      </c>
      <c r="I139" s="17" t="s">
        <v>48</v>
      </c>
      <c r="J139" s="17" t="s">
        <v>37</v>
      </c>
      <c r="K139" s="4">
        <v>44984</v>
      </c>
    </row>
    <row r="140" spans="1:11" x14ac:dyDescent="0.25">
      <c r="A140" s="17" t="s">
        <v>5</v>
      </c>
      <c r="B140" s="17" t="s">
        <v>50</v>
      </c>
      <c r="C140">
        <v>0.25</v>
      </c>
      <c r="D140" s="17" t="s">
        <v>23</v>
      </c>
      <c r="E140" s="17" t="s">
        <v>56</v>
      </c>
      <c r="F140" s="17" t="s">
        <v>57</v>
      </c>
      <c r="G140" s="17" t="s">
        <v>79</v>
      </c>
      <c r="H140">
        <v>0.25</v>
      </c>
      <c r="I140" s="17" t="s">
        <v>81</v>
      </c>
      <c r="J140" s="17" t="s">
        <v>37</v>
      </c>
      <c r="K140" s="4">
        <v>44984</v>
      </c>
    </row>
    <row r="141" spans="1:11" x14ac:dyDescent="0.25">
      <c r="A141" s="17" t="s">
        <v>5</v>
      </c>
      <c r="B141" s="17" t="s">
        <v>50</v>
      </c>
      <c r="C141">
        <v>0.5</v>
      </c>
      <c r="D141" s="17" t="s">
        <v>23</v>
      </c>
      <c r="E141" s="17" t="s">
        <v>56</v>
      </c>
      <c r="F141" s="17" t="s">
        <v>57</v>
      </c>
      <c r="G141" s="17" t="s">
        <v>79</v>
      </c>
      <c r="H141">
        <v>1</v>
      </c>
      <c r="I141" s="17" t="s">
        <v>48</v>
      </c>
      <c r="J141" s="17" t="s">
        <v>37</v>
      </c>
      <c r="K141" s="4">
        <v>44903</v>
      </c>
    </row>
    <row r="142" spans="1:11" x14ac:dyDescent="0.25">
      <c r="A142" s="17" t="s">
        <v>5</v>
      </c>
      <c r="B142" s="17" t="s">
        <v>50</v>
      </c>
      <c r="C142">
        <v>0.17</v>
      </c>
      <c r="D142" s="17" t="s">
        <v>23</v>
      </c>
      <c r="E142" s="17" t="s">
        <v>56</v>
      </c>
      <c r="F142" s="17" t="s">
        <v>61</v>
      </c>
      <c r="G142" s="17" t="s">
        <v>79</v>
      </c>
      <c r="H142">
        <v>0.17</v>
      </c>
      <c r="I142" s="17" t="s">
        <v>48</v>
      </c>
      <c r="J142" s="17" t="s">
        <v>37</v>
      </c>
      <c r="K142" s="4">
        <v>44984</v>
      </c>
    </row>
    <row r="143" spans="1:11" x14ac:dyDescent="0.25">
      <c r="A143" s="17" t="s">
        <v>5</v>
      </c>
      <c r="B143" s="17" t="s">
        <v>50</v>
      </c>
      <c r="C143">
        <v>1</v>
      </c>
      <c r="D143" s="17" t="s">
        <v>23</v>
      </c>
      <c r="E143" s="17" t="s">
        <v>56</v>
      </c>
      <c r="F143" s="17" t="s">
        <v>57</v>
      </c>
      <c r="G143" s="17" t="s">
        <v>79</v>
      </c>
      <c r="H143">
        <v>1.75</v>
      </c>
      <c r="I143" s="17" t="s">
        <v>48</v>
      </c>
      <c r="J143" s="17" t="s">
        <v>37</v>
      </c>
      <c r="K143" s="4">
        <v>44986</v>
      </c>
    </row>
    <row r="144" spans="1:11" x14ac:dyDescent="0.25">
      <c r="A144" s="17" t="s">
        <v>5</v>
      </c>
      <c r="B144" s="17" t="s">
        <v>50</v>
      </c>
      <c r="C144">
        <v>0.17</v>
      </c>
      <c r="D144" s="17" t="s">
        <v>23</v>
      </c>
      <c r="E144" s="17" t="s">
        <v>56</v>
      </c>
      <c r="F144" s="17" t="s">
        <v>57</v>
      </c>
      <c r="G144" s="17" t="s">
        <v>79</v>
      </c>
      <c r="H144">
        <v>0.17</v>
      </c>
      <c r="I144" s="17" t="s">
        <v>48</v>
      </c>
      <c r="J144" s="17" t="s">
        <v>37</v>
      </c>
      <c r="K144" s="4">
        <v>44987</v>
      </c>
    </row>
    <row r="145" spans="1:11" x14ac:dyDescent="0.25">
      <c r="A145" s="17" t="s">
        <v>5</v>
      </c>
      <c r="B145" s="17" t="s">
        <v>50</v>
      </c>
      <c r="C145">
        <v>0.25</v>
      </c>
      <c r="D145" s="17" t="s">
        <v>23</v>
      </c>
      <c r="E145" s="17" t="s">
        <v>56</v>
      </c>
      <c r="F145" s="17" t="s">
        <v>60</v>
      </c>
      <c r="G145" s="17" t="s">
        <v>79</v>
      </c>
      <c r="H145">
        <v>0.25</v>
      </c>
      <c r="I145" s="17" t="s">
        <v>48</v>
      </c>
      <c r="J145" s="17" t="s">
        <v>37</v>
      </c>
      <c r="K145" s="4">
        <v>44987</v>
      </c>
    </row>
    <row r="146" spans="1:11" x14ac:dyDescent="0.25">
      <c r="A146" s="17" t="s">
        <v>5</v>
      </c>
      <c r="B146" s="17" t="s">
        <v>50</v>
      </c>
      <c r="C146">
        <v>0.5</v>
      </c>
      <c r="D146" s="17" t="s">
        <v>23</v>
      </c>
      <c r="E146" s="17" t="s">
        <v>56</v>
      </c>
      <c r="F146" s="17" t="s">
        <v>80</v>
      </c>
      <c r="G146" s="17" t="s">
        <v>79</v>
      </c>
      <c r="H146">
        <v>0.5</v>
      </c>
      <c r="I146" s="17" t="s">
        <v>48</v>
      </c>
      <c r="J146" s="17" t="s">
        <v>37</v>
      </c>
      <c r="K146" s="4">
        <v>44979</v>
      </c>
    </row>
    <row r="147" spans="1:11" x14ac:dyDescent="0.25">
      <c r="A147" s="17" t="s">
        <v>5</v>
      </c>
      <c r="B147" s="17" t="s">
        <v>50</v>
      </c>
      <c r="C147">
        <v>0.25</v>
      </c>
      <c r="D147" s="17" t="s">
        <v>23</v>
      </c>
      <c r="E147" s="17" t="s">
        <v>56</v>
      </c>
      <c r="F147" s="17" t="s">
        <v>52</v>
      </c>
      <c r="G147" s="17" t="s">
        <v>79</v>
      </c>
      <c r="H147">
        <v>0.25</v>
      </c>
      <c r="I147" s="17" t="s">
        <v>48</v>
      </c>
      <c r="J147" s="17" t="s">
        <v>37</v>
      </c>
      <c r="K147" s="4">
        <v>44986</v>
      </c>
    </row>
    <row r="148" spans="1:11" x14ac:dyDescent="0.25">
      <c r="A148" s="17" t="s">
        <v>5</v>
      </c>
      <c r="B148" s="17" t="s">
        <v>50</v>
      </c>
      <c r="C148">
        <v>0.25</v>
      </c>
      <c r="D148" s="17" t="s">
        <v>23</v>
      </c>
      <c r="E148" s="17" t="s">
        <v>56</v>
      </c>
      <c r="F148" s="17" t="s">
        <v>52</v>
      </c>
      <c r="G148" s="17" t="s">
        <v>79</v>
      </c>
      <c r="H148">
        <v>0.25</v>
      </c>
      <c r="I148" s="17" t="s">
        <v>48</v>
      </c>
      <c r="J148" s="17" t="s">
        <v>37</v>
      </c>
      <c r="K148" s="4">
        <v>44987</v>
      </c>
    </row>
    <row r="149" spans="1:11" x14ac:dyDescent="0.25">
      <c r="A149" s="17" t="s">
        <v>5</v>
      </c>
      <c r="B149" s="17" t="s">
        <v>50</v>
      </c>
      <c r="C149">
        <v>0.25</v>
      </c>
      <c r="D149" s="17" t="s">
        <v>23</v>
      </c>
      <c r="E149" s="17" t="s">
        <v>56</v>
      </c>
      <c r="F149" s="17" t="s">
        <v>57</v>
      </c>
      <c r="G149" s="17" t="s">
        <v>79</v>
      </c>
      <c r="H149">
        <v>0.25</v>
      </c>
      <c r="I149" s="17" t="s">
        <v>48</v>
      </c>
      <c r="J149" s="17" t="s">
        <v>37</v>
      </c>
      <c r="K149" s="4">
        <v>44986</v>
      </c>
    </row>
    <row r="150" spans="1:11" x14ac:dyDescent="0.25">
      <c r="A150" s="17" t="s">
        <v>5</v>
      </c>
      <c r="B150" s="17" t="s">
        <v>50</v>
      </c>
      <c r="C150">
        <v>0.17</v>
      </c>
      <c r="D150" s="17" t="s">
        <v>23</v>
      </c>
      <c r="E150" s="17" t="s">
        <v>56</v>
      </c>
      <c r="F150" s="17" t="s">
        <v>57</v>
      </c>
      <c r="G150" s="17" t="s">
        <v>79</v>
      </c>
      <c r="H150">
        <v>0.17</v>
      </c>
      <c r="I150" s="17" t="s">
        <v>48</v>
      </c>
      <c r="J150" s="17" t="s">
        <v>37</v>
      </c>
      <c r="K150" s="4">
        <v>44987</v>
      </c>
    </row>
    <row r="151" spans="1:11" x14ac:dyDescent="0.25">
      <c r="A151" s="17" t="s">
        <v>5</v>
      </c>
      <c r="B151" s="17" t="s">
        <v>50</v>
      </c>
      <c r="C151">
        <v>0.25</v>
      </c>
      <c r="D151" s="17" t="s">
        <v>23</v>
      </c>
      <c r="E151" s="17" t="s">
        <v>56</v>
      </c>
      <c r="F151" s="17" t="s">
        <v>60</v>
      </c>
      <c r="G151" s="17" t="s">
        <v>79</v>
      </c>
      <c r="H151">
        <v>0.25</v>
      </c>
      <c r="I151" s="17" t="s">
        <v>48</v>
      </c>
      <c r="J151" s="17" t="s">
        <v>37</v>
      </c>
      <c r="K151" s="4">
        <v>44986</v>
      </c>
    </row>
    <row r="152" spans="1:11" x14ac:dyDescent="0.25">
      <c r="A152" s="17" t="s">
        <v>5</v>
      </c>
      <c r="B152" s="17" t="s">
        <v>50</v>
      </c>
      <c r="C152">
        <v>0.75</v>
      </c>
      <c r="D152" s="17" t="s">
        <v>23</v>
      </c>
      <c r="E152" s="17" t="s">
        <v>56</v>
      </c>
      <c r="F152" s="17" t="s">
        <v>57</v>
      </c>
      <c r="G152" s="17" t="s">
        <v>79</v>
      </c>
      <c r="H152">
        <v>0.75</v>
      </c>
      <c r="I152" s="17" t="s">
        <v>48</v>
      </c>
      <c r="J152" s="17" t="s">
        <v>37</v>
      </c>
      <c r="K152" s="4">
        <v>44984</v>
      </c>
    </row>
    <row r="153" spans="1:11" x14ac:dyDescent="0.25">
      <c r="A153" s="17" t="s">
        <v>5</v>
      </c>
      <c r="B153" s="17" t="s">
        <v>50</v>
      </c>
      <c r="C153">
        <v>1.5</v>
      </c>
      <c r="D153" s="17" t="s">
        <v>23</v>
      </c>
      <c r="E153" s="17" t="s">
        <v>58</v>
      </c>
      <c r="F153" s="17" t="s">
        <v>80</v>
      </c>
      <c r="G153" s="17" t="s">
        <v>76</v>
      </c>
      <c r="H153">
        <v>1.5</v>
      </c>
      <c r="I153" s="17" t="s">
        <v>48</v>
      </c>
      <c r="J153" s="17" t="s">
        <v>48</v>
      </c>
      <c r="K153" s="4">
        <v>44980</v>
      </c>
    </row>
    <row r="154" spans="1:11" x14ac:dyDescent="0.25">
      <c r="A154" s="17" t="s">
        <v>5</v>
      </c>
      <c r="B154" s="17" t="s">
        <v>50</v>
      </c>
      <c r="C154">
        <v>0.33</v>
      </c>
      <c r="D154" s="17" t="s">
        <v>23</v>
      </c>
      <c r="E154" s="17" t="s">
        <v>58</v>
      </c>
      <c r="F154" s="17" t="s">
        <v>57</v>
      </c>
      <c r="G154" s="17" t="s">
        <v>76</v>
      </c>
      <c r="H154">
        <v>0.33</v>
      </c>
      <c r="I154" s="17" t="s">
        <v>48</v>
      </c>
      <c r="J154" s="17" t="s">
        <v>48</v>
      </c>
      <c r="K154" s="4">
        <v>44985</v>
      </c>
    </row>
    <row r="155" spans="1:11" x14ac:dyDescent="0.25">
      <c r="A155" s="17" t="s">
        <v>5</v>
      </c>
      <c r="B155" s="17" t="s">
        <v>50</v>
      </c>
      <c r="C155">
        <v>0.25</v>
      </c>
      <c r="D155" s="17" t="s">
        <v>23</v>
      </c>
      <c r="E155" s="17" t="s">
        <v>56</v>
      </c>
      <c r="F155" s="17" t="s">
        <v>57</v>
      </c>
      <c r="G155" s="17" t="s">
        <v>77</v>
      </c>
      <c r="H155">
        <v>0.25</v>
      </c>
      <c r="I155" s="17" t="s">
        <v>48</v>
      </c>
      <c r="J155" s="17" t="s">
        <v>78</v>
      </c>
      <c r="K155" s="4">
        <v>44984</v>
      </c>
    </row>
    <row r="156" spans="1:11" x14ac:dyDescent="0.25">
      <c r="A156" s="17" t="s">
        <v>5</v>
      </c>
      <c r="B156" s="17" t="s">
        <v>50</v>
      </c>
      <c r="C156">
        <v>0.75</v>
      </c>
      <c r="D156" s="17" t="s">
        <v>23</v>
      </c>
      <c r="E156" s="17" t="s">
        <v>56</v>
      </c>
      <c r="F156" s="17" t="s">
        <v>60</v>
      </c>
      <c r="G156" s="17" t="s">
        <v>77</v>
      </c>
      <c r="H156">
        <v>0.75</v>
      </c>
      <c r="I156" s="17" t="s">
        <v>48</v>
      </c>
      <c r="J156" s="17" t="s">
        <v>78</v>
      </c>
      <c r="K156" s="4">
        <v>44984</v>
      </c>
    </row>
    <row r="157" spans="1:11" x14ac:dyDescent="0.25">
      <c r="A157" s="17" t="s">
        <v>5</v>
      </c>
      <c r="B157" s="17" t="s">
        <v>50</v>
      </c>
      <c r="C157">
        <v>0.17</v>
      </c>
      <c r="D157" s="17" t="s">
        <v>23</v>
      </c>
      <c r="E157" s="17" t="s">
        <v>56</v>
      </c>
      <c r="F157" s="17" t="s">
        <v>57</v>
      </c>
      <c r="G157" s="17" t="s">
        <v>77</v>
      </c>
      <c r="H157">
        <v>0.17</v>
      </c>
      <c r="I157" s="17" t="s">
        <v>48</v>
      </c>
      <c r="J157" s="17" t="s">
        <v>78</v>
      </c>
      <c r="K157" s="4">
        <v>44985</v>
      </c>
    </row>
    <row r="158" spans="1:11" x14ac:dyDescent="0.25">
      <c r="A158" s="17" t="s">
        <v>5</v>
      </c>
      <c r="B158" s="17" t="s">
        <v>50</v>
      </c>
      <c r="C158">
        <v>0.5</v>
      </c>
      <c r="D158" s="17" t="s">
        <v>23</v>
      </c>
      <c r="E158" s="17" t="s">
        <v>56</v>
      </c>
      <c r="F158" s="17" t="s">
        <v>60</v>
      </c>
      <c r="G158" s="17" t="s">
        <v>77</v>
      </c>
      <c r="H158">
        <v>0.5</v>
      </c>
      <c r="I158" s="17" t="s">
        <v>48</v>
      </c>
      <c r="J158" s="17" t="s">
        <v>78</v>
      </c>
      <c r="K158" s="4">
        <v>44985</v>
      </c>
    </row>
    <row r="159" spans="1:11" x14ac:dyDescent="0.25">
      <c r="A159" s="17" t="s">
        <v>5</v>
      </c>
      <c r="B159" s="17" t="s">
        <v>50</v>
      </c>
      <c r="C159">
        <v>0.5</v>
      </c>
      <c r="D159" s="17" t="s">
        <v>23</v>
      </c>
      <c r="E159" s="17" t="s">
        <v>56</v>
      </c>
      <c r="F159" s="17" t="s">
        <v>60</v>
      </c>
      <c r="G159" s="17" t="s">
        <v>77</v>
      </c>
      <c r="H159">
        <v>0.5</v>
      </c>
      <c r="I159" s="17" t="s">
        <v>48</v>
      </c>
      <c r="J159" s="17" t="s">
        <v>78</v>
      </c>
      <c r="K159" s="4">
        <v>44972</v>
      </c>
    </row>
    <row r="160" spans="1:11" x14ac:dyDescent="0.25">
      <c r="A160" s="17" t="s">
        <v>5</v>
      </c>
      <c r="B160" s="17" t="s">
        <v>50</v>
      </c>
      <c r="C160">
        <v>0.08</v>
      </c>
      <c r="D160" s="17" t="s">
        <v>23</v>
      </c>
      <c r="E160" s="17" t="s">
        <v>56</v>
      </c>
      <c r="F160" s="17" t="s">
        <v>57</v>
      </c>
      <c r="G160" s="17" t="s">
        <v>77</v>
      </c>
      <c r="H160">
        <v>0.08</v>
      </c>
      <c r="I160" s="17" t="s">
        <v>48</v>
      </c>
      <c r="J160" s="17" t="s">
        <v>78</v>
      </c>
      <c r="K160" s="4">
        <v>44987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E5A6B1-5D0E-44B4-A039-4824BE38A6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Historical</vt:lpstr>
      <vt:lpstr>Current</vt:lpstr>
      <vt:lpstr>Case Volume - Yosemite</vt:lpstr>
      <vt:lpstr>1 - Inbound Calls Last 7 - Yose</vt:lpstr>
      <vt:lpstr>2 - Avg Response Times - Yosem</vt:lpstr>
      <vt:lpstr>3 - Response &gt; 1 hr - Yosem</vt:lpstr>
      <vt:lpstr>4 - Time Logged - Yosem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Ceraso, Nicholas</dc:creator>
  <cp:keywords/>
  <dc:description/>
  <cp:lastModifiedBy>Elmellouki, Yassine</cp:lastModifiedBy>
  <cp:revision/>
  <dcterms:created xsi:type="dcterms:W3CDTF">2022-04-07T13:45:51Z</dcterms:created>
  <dcterms:modified xsi:type="dcterms:W3CDTF">2023-03-03T17:08:32Z</dcterms:modified>
  <cp:category/>
  <cp:contentStatus/>
</cp:coreProperties>
</file>